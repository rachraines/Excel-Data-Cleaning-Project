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bike_buyers" sheetId="1" r:id="rId4"/>
    <sheet state="visible" name="description_of_cleaned_data" sheetId="2" r:id="rId5"/>
    <sheet state="visible" name="cleaned_bike_buyers" sheetId="3" r:id="rId6"/>
    <sheet state="visible" name="pivot_table" sheetId="4" r:id="rId7"/>
    <sheet state="visible" name="dashboard" sheetId="5" r:id="rId8"/>
  </sheets>
  <definedNames>
    <definedName hidden="1" localSheetId="2" name="_xlnm._FilterDatabase">cleaned_bike_buyers!$A$1:$AA$1027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<sst xmlns="http://schemas.openxmlformats.org/spreadsheetml/2006/main" count="16272" uniqueCount="59">
  <si>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</si>
  <si>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</si>
  <si>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</si>
  <si>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</si>
  <si>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</si>
  <si>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</si>
  <si>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</si>
  <si>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</si>
  <si>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</si>
  <si>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</si>
  <si>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</si>
  <si>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</si>
  <si>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</si>
  <si>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</si>
  <si>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</si>
  <si>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</si>
  <si>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</si>
  <si>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</si>
  <si>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</si>
  <si>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</si>
  <si>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</si>
  <si>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</si>
  <si>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</si>
  <si>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</si>
  <si>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</si>
  <si>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</si>
  <si>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</si>
  <si>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</si>
  <si>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</si>
  <si>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</si>
  <si>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</si>
  <si>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</si>
  <si>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</si>
  <si>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</si>
  <si>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</si>
  <si>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</si>
  <si>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Cleaning Action</t>
  </si>
  <si>
    <t>Instance</t>
  </si>
  <si>
    <t>Remove duplicate data</t>
  </si>
  <si>
    <t>Improve Readability</t>
  </si>
  <si>
    <t>Replace "M" with "Married" in Marital Status column</t>
  </si>
  <si>
    <t>Replace "S" with "Single" in Marital Status column</t>
  </si>
  <si>
    <t>Replace "M" with "Male" in Gender column</t>
  </si>
  <si>
    <t>Replace "F" with "Female" in Gender column</t>
  </si>
  <si>
    <t>Remove the cents from Income column</t>
  </si>
  <si>
    <t>Replace "10+ Miles" with "More than 10 Miles"</t>
  </si>
  <si>
    <t>Sort ages into Age Brackets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</si>
  <si>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</si>
  <si>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</si>
  <si>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</si>
  <si>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</si>
  <si>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</si>
  <si>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</si>
  <si>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</si>
  <si>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COUNTA of Purchased Bike</t>
  </si>
  <si>
    <t>Adolescent (0-30)</t>
  </si>
  <si>
    <t>Middle Aged (31-54)</t>
  </si>
  <si>
    <t>Old (54+)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</si>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</sst>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b/>
      <color theme="1"/>
      <name val="Calibri"/>
      <scheme val="minor"/>
    </font>
    <font/>
    <font>
      <b/>
      <sz val="30.0"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 vertical="center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165" xfId="0" applyFont="1" applyNumberFormat="1"/>
    <xf borderId="0" fillId="2" fontId="6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Avg Incomes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pivot_table!$A$3:$A$4</c:f>
            </c:strRef>
          </c:cat>
          <c:val>
            <c:numRef>
              <c:f>pivot_table!$B$3:$B$4</c:f>
              <c:numCache/>
            </c:numRef>
          </c:val>
        </c:ser>
        <c:ser>
          <c:idx val="1"/>
          <c:order val="1"/>
          <c:tx>
            <c:strRef>
              <c:f>pivot_table!$C$1:$C$2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pivot_table!$A$3:$A$4</c:f>
            </c:strRef>
          </c:cat>
          <c:val>
            <c:numRef>
              <c:f>pivot_table!$C$3:$C$4</c:f>
              <c:numCache/>
            </c:numRef>
          </c:val>
        </c:ser>
        <c:axId val="706956991"/>
        <c:axId val="1274508095"/>
      </c:barChart>
      <c:catAx>
        <c:axId val="70695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508095"/>
      </c:catAx>
      <c:valAx>
        <c:axId val="1274508095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956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Commute 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pivot_table!$B$20:$B$21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pivot_table!$A$22:$A$27</c:f>
            </c:strRef>
          </c:cat>
          <c:val>
            <c:numRef>
              <c:f>pivot_table!$B$22:$B$27</c:f>
              <c:numCache/>
            </c:numRef>
          </c:val>
          <c:smooth val="0"/>
        </c:ser>
        <c:ser>
          <c:idx val="1"/>
          <c:order val="1"/>
          <c:tx>
            <c:strRef>
              <c:f>pivot_table!$C$20:$C$21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pivot_table!$A$22:$A$27</c:f>
            </c:strRef>
          </c:cat>
          <c:val>
            <c:numRef>
              <c:f>pivot_table!$C$22:$C$27</c:f>
              <c:numCache/>
            </c:numRef>
          </c:val>
          <c:smooth val="0"/>
        </c:ser>
        <c:axId val="1660518294"/>
        <c:axId val="135219701"/>
      </c:lineChart>
      <c:catAx>
        <c:axId val="1660518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19701"/>
      </c:catAx>
      <c:valAx>
        <c:axId val="135219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518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Age Range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pivot_table!$B$39:$B$40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pivot_table!$A$41:$A$43</c:f>
            </c:strRef>
          </c:cat>
          <c:val>
            <c:numRef>
              <c:f>pivot_table!$B$41:$B$43</c:f>
              <c:numCache/>
            </c:numRef>
          </c:val>
          <c:smooth val="0"/>
        </c:ser>
        <c:ser>
          <c:idx val="1"/>
          <c:order val="1"/>
          <c:tx>
            <c:strRef>
              <c:f>pivot_table!$C$39:$C$40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pivot_table!$A$41:$A$43</c:f>
            </c:strRef>
          </c:cat>
          <c:val>
            <c:numRef>
              <c:f>pivot_table!$C$41:$C$43</c:f>
              <c:numCache/>
            </c:numRef>
          </c:val>
          <c:smooth val="0"/>
        </c:ser>
        <c:axId val="1689296015"/>
        <c:axId val="1560520562"/>
      </c:lineChart>
      <c:catAx>
        <c:axId val="168929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520562"/>
      </c:catAx>
      <c:valAx>
        <c:axId val="1560520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296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Avg Incomes by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pivot_table!$A$3:$A$4</c:f>
            </c:strRef>
          </c:cat>
          <c:val>
            <c:numRef>
              <c:f>pivot_table!$B$3:$B$4</c:f>
              <c:numCache/>
            </c:numRef>
          </c:val>
        </c:ser>
        <c:ser>
          <c:idx val="1"/>
          <c:order val="1"/>
          <c:tx>
            <c:strRef>
              <c:f>pivot_table!$C$1:$C$2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pivot_table!$A$3:$A$4</c:f>
            </c:strRef>
          </c:cat>
          <c:val>
            <c:numRef>
              <c:f>pivot_table!$C$3:$C$4</c:f>
              <c:numCache/>
            </c:numRef>
          </c:val>
        </c:ser>
        <c:axId val="484884665"/>
        <c:axId val="712475189"/>
      </c:barChart>
      <c:catAx>
        <c:axId val="484884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475189"/>
      </c:catAx>
      <c:valAx>
        <c:axId val="712475189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884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Commute 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pivot_table!$B$20:$B$21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pivot_table!$A$22:$A$27</c:f>
            </c:strRef>
          </c:cat>
          <c:val>
            <c:numRef>
              <c:f>pivot_table!$B$22:$B$27</c:f>
              <c:numCache/>
            </c:numRef>
          </c:val>
          <c:smooth val="0"/>
        </c:ser>
        <c:ser>
          <c:idx val="1"/>
          <c:order val="1"/>
          <c:tx>
            <c:strRef>
              <c:f>pivot_table!$C$20:$C$21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pivot_table!$A$22:$A$27</c:f>
            </c:strRef>
          </c:cat>
          <c:val>
            <c:numRef>
              <c:f>pivot_table!$C$22:$C$27</c:f>
              <c:numCache/>
            </c:numRef>
          </c:val>
          <c:smooth val="0"/>
        </c:ser>
        <c:axId val="2098960259"/>
        <c:axId val="670585179"/>
      </c:lineChart>
      <c:catAx>
        <c:axId val="2098960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585179"/>
      </c:catAx>
      <c:valAx>
        <c:axId val="670585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960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Bikes Purchased Based on Age Range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pivot_table!$B$39:$B$40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pivot_table!$A$41:$A$43</c:f>
            </c:strRef>
          </c:cat>
          <c:val>
            <c:numRef>
              <c:f>pivot_table!$B$41:$B$43</c:f>
              <c:numCache/>
            </c:numRef>
          </c:val>
          <c:smooth val="0"/>
        </c:ser>
        <c:ser>
          <c:idx val="1"/>
          <c:order val="1"/>
          <c:tx>
            <c:strRef>
              <c:f>pivot_table!$C$39:$C$40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pivot_table!$A$41:$A$43</c:f>
            </c:strRef>
          </c:cat>
          <c:val>
            <c:numRef>
              <c:f>pivot_table!$C$41:$C$43</c:f>
              <c:numCache/>
            </c:numRef>
          </c:val>
          <c:smooth val="0"/>
        </c:ser>
        <c:axId val="1212134494"/>
        <c:axId val="1727508879"/>
      </c:lineChart>
      <c:catAx>
        <c:axId val="1212134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508879"/>
      </c:catAx>
      <c:valAx>
        <c:axId val="1727508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134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952500</xdr:colOff>
      <xdr:row>18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952500</xdr:colOff>
      <xdr:row>37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</xdr:rowOff>
    </xdr:from>
    <xdr:ext cx="5295900" cy="3276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57150</xdr:rowOff>
    </xdr:from>
    <xdr:ext cx="105441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495300</xdr:colOff>
      <xdr:row>4</xdr:row>
      <xdr:rowOff>19050</xdr:rowOff>
    </xdr:from>
    <xdr:ext cx="5248275" cy="3276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cleaned_bike_buyers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5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d (31-54)"/>
        <s v="Old (54+)"/>
        <s v="Adolescent (0-30)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dataCaption="" rowGrandTotals="0" colGrandTotals="0" compact="0" compactData="0">
  <location ref="A5:C8" firstHeaderRow="0" firstDataRow="1" firstDataCol="1" rowPageCount="3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axis="axisPag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Pag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pageFields>
    <pageField fld="10"/>
    <pageField fld="1"/>
    <pageField fld="5"/>
  </pageFields>
  <dataFields>
    <dataField name="AVERAGE of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_table 2" cacheId="0" dataCaption="" rowGrandTotals="0" colGrandTotals="0" compact="0" compactData="0">
  <location ref="A20:C26" firstHeaderRow="0" firstDataRow="1" firstDataCol="1" rowPageCount="3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axis="axisPag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axis="axisPag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pageFields>
    <pageField fld="1"/>
    <pageField fld="10"/>
    <pageField fld="5"/>
  </pageFields>
  <dataFields>
    <dataField name="COUNTA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ivot_table 3" cacheId="0" dataCaption="" rowGrandTotals="0" colGrandTotals="0" compact="0" compactData="0">
  <location ref="A39:C43" firstHeaderRow="0" firstDataRow="1" firstDataCol="1" rowPageCount="3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axis="axisPag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Pag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pageFields>
    <pageField fld="1"/>
    <pageField fld="10"/>
    <pageField fld="5"/>
  </pageFields>
  <dataFields>
    <dataField name="COUNTA of Purchased Bike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3.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3.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3.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3.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3.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3.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3.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3.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3.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3.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3.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3.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3.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3.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3.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3.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3.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3.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3.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3.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3.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3.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3.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3.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3.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3.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3.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3.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3.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3.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3.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3.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3.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3.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3.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3.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3.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3.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3.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3.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3.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3.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3.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3.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3.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3.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3.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3.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3.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3.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3.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3.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3.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3.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3.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3.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3.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3.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3.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3.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3.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3.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3.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3.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3.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3.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3.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3.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3.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3.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3.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3.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3.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3.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3.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3.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3.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3.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3.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3.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3.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3.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3.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3.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3.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3.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3.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3.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3.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3.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3.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3.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3.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3.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3.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3.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3.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3.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3.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3.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3.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3.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3.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3.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3.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3.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3.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3.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3.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3.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3.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3.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3.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3.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3.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3.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3.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3.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3.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3.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3.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3.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3.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3.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3.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3.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3.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3.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3.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3.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3.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3.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3.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3.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3.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3.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3.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3.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3.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3.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3.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3.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3.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3.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3.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3.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3.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3.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3.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3.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3.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3.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3.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3.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3.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3.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3.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3.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3.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3.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3.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3.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3.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3.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3.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3.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3.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3.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3.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3.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3.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3.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3.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3.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3.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3.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3.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3.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3.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3.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3.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3.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3.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3.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3.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3.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3.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3.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3.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3.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3.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3.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3.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3.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3.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3.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3.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3.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3.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3.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3.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3.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3.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3.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3.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3.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3.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3.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3.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3.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3.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3.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3.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3.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3.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3.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3.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3.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3.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3.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3.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3.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3.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3.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3.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3.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3.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3.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3.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3.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3.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3.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3.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3.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3.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3.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3.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3.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3.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3.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3.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3.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3.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3.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3.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3.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3.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3.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3.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3.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3.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3.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3.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3.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3.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3.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3.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3.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3.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3.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3.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3.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3.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3.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3.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3.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3.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3.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3.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3.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3.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3.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3.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3.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3.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3.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3.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3.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3.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3.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3.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3.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3.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3.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3.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3.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3.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3.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3.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3.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3.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3.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3.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3.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3.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3.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3.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3.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3.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3.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3.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3.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3.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3.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3.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3.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3.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3.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3.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3.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3.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3.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3.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3.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3.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3.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3.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3.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3.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3.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3.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3.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3.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3.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3.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3.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3.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3.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3.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3.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3.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3.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3.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3.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3.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3.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3.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3.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3.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3.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3.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3.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3.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3.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3.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3.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3.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3.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3.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3.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3.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3.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3.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3.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3.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3.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3.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3.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3.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3.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3.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3.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3.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3.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3.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3.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3.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3.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3.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3.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3.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3.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3.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3.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3.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3.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3.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3.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3.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3.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3.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3.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3.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3.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3.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3.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3.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3.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3.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3.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3.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3.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3.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3.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3.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3.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3.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3.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3.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3.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3.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3.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3.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3.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3.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3.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3.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3.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3.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3.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3.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3.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3.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3.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3.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3.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3.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3.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3.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3.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3.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3.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3.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3.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3.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3.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3.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3.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3.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3.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3.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3.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3.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3.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3.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3.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3.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3.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3.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3.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3.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3.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3.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3.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3.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3.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3.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3.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3.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3.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3.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3.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3.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3.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3.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3.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3.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3.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3.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3.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3.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3.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3.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3.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3.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3.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3.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3.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3.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3.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3.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3.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3.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3.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3.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3.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3.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3.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3.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3.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3.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3.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3.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3.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3.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3.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3.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3.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3.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3.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3.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3.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3.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3.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3.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3.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3.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3.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3.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3.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3.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3.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3.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3.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3.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3.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3.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3.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3.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3.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3.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3.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3.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3.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3.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3.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3.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3.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3.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3.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3.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3.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3.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3.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3.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3.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3.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3.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3.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3.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3.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3.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3.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3.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3.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3.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3.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3.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3.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3.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3.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3.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3.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3.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3.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3.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3.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3.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3.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3.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3.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3.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3.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3.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3.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3.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3.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3.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3.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3.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3.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3.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3.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3.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3.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3.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3.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3.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3.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3.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3.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3.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3.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3.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3.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3.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3.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3.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3.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3.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3.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3.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3.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3.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3.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3.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3.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3.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3.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3.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3.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3.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3.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3.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3.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3.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3.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3.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3.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3.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3.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3.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3.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3.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3.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3.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3.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3.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3.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3.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3.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3.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3.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3.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3.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3.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3.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3.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3.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3.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3.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3.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3.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3.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3.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3.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3.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3.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3.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3.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3.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3.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3.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3.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3.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3.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3.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3.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3.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3.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3.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3.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3.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3.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3.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3.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3.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3.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3.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3.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3.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3.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3.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3.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3.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3.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3.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3.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3.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3.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3.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3.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3.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3.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3.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3.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3.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3.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3.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3.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3.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3.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3.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3.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3.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3.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3.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3.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3.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3.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3.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3.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3.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3.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3.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3.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3.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3.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3.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3.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3.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3.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3.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3.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3.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3.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3.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3.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3.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3.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3.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3.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3.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3.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3.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3.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3.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3.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3.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3.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3.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3.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3.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3.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3.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3.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3.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3.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3.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3.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3.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3.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3.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3.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3.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3.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3.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3.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3.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3.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3.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3.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3.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3.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3.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3.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3.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3.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3.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3.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3.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3.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3.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3.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3.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3.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3.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3.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3.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3.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3.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3.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3.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3.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3.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3.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3.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3.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3.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3.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3.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3.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3.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3.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3.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3.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3.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3.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3.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3.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3.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3.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3.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3.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3.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3.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3.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3.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3.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3.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3.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3.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3.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3.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3.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3.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3.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3.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3.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3.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3.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3.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3.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3.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3.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3.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3.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3.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3.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3.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3.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3.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3.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3.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3.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3.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3.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3.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3.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3.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3.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3.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3.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3.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3.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3.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3.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3.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3.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3.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3.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3.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3.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3.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3.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3.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3.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3.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3.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3.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3.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3.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3.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3.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3.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3.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3.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3.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3.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3.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3.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3.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3.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3.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3.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3.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3.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3.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3.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3.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3.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3.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3.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3.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3.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3.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3.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3.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3.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3.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3.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3.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3.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3.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3.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3.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3.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3.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3.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3.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3.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3.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3.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3.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3.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3.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3.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3.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3.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3.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3.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3.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3.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3.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3.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3.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3.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3.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3.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3.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3.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3.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3.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3.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3.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3.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3.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3.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3.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3.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3.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3.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3.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3.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3.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3.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3.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3.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3.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3.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3.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3.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3.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3.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3.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3.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3.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3.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3.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3.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3.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3.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3.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3.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3.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3.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3.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3.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3.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3.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3.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3.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3.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3.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3.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3.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3.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3.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3.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3.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3.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3.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3.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3.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3.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3.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3.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3.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3.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3.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3.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3.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3.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3.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3.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3.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3.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3.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3.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3.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3.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3.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3.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3.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3.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3.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3.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3.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3.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3.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3.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3.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3.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3.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3.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3.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3.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3.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3.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3.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3.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3.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3.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3.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3.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3.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3.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3.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3.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3.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3.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3.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3.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3.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3.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3.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3.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3.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3.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3.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3.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3.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3.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3.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3.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3.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3.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3.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3.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3.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3.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3.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3.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3.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3.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3.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3.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3.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3.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3.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3.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3.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3.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3.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3.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3.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6.29"/>
  </cols>
  <sheetData>
    <row r="1">
      <c r="A1" s="4" t="s">
        <v>36</v>
      </c>
      <c r="B1" s="4" t="s">
        <v>37</v>
      </c>
    </row>
    <row r="2">
      <c r="A2" s="5" t="s">
        <v>38</v>
      </c>
      <c r="B2" s="6"/>
    </row>
    <row r="3">
      <c r="A3" s="7" t="s">
        <v>39</v>
      </c>
      <c r="B3" s="5" t="s">
        <v>40</v>
      </c>
    </row>
    <row r="4">
      <c r="A4" s="8"/>
      <c r="B4" s="5" t="s">
        <v>41</v>
      </c>
    </row>
    <row r="5">
      <c r="A5" s="8"/>
      <c r="B5" s="5" t="s">
        <v>42</v>
      </c>
    </row>
    <row r="6">
      <c r="A6" s="8"/>
      <c r="B6" s="5" t="s">
        <v>43</v>
      </c>
    </row>
    <row r="7">
      <c r="A7" s="8"/>
      <c r="B7" s="5" t="s">
        <v>44</v>
      </c>
    </row>
    <row r="8">
      <c r="A8" s="8"/>
      <c r="B8" s="5" t="s">
        <v>45</v>
      </c>
    </row>
    <row r="9">
      <c r="A9" s="9"/>
      <c r="B9" s="5" t="s">
        <v>46</v>
      </c>
    </row>
  </sheetData>
  <mergeCells count="1">
    <mergeCell ref="A3:A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29"/>
    <col customWidth="1" min="3" max="4" width="10.43"/>
    <col customWidth="1" min="5" max="5" width="11.29"/>
    <col customWidth="1" min="6" max="6" width="17.0"/>
    <col customWidth="1" min="7" max="7" width="13.86"/>
    <col customWidth="1" min="8" max="8" width="15.57"/>
    <col customWidth="1" min="9" max="9" width="7.71"/>
    <col customWidth="1" min="10" max="10" width="20.43"/>
    <col customWidth="1" min="11" max="11" width="13.57"/>
    <col customWidth="1" min="12" max="12" width="7.29"/>
    <col customWidth="1" min="13" max="13" width="14.29"/>
    <col customWidth="1" min="14" max="14" width="17.14"/>
    <col customWidth="1" min="15" max="27" width="11.86"/>
  </cols>
  <sheetData>
    <row r="1" ht="13.5" customHeight="1">
      <c r="A1" s="1" t="s">
        <v>0</v>
      </c>
      <c r="B1" s="10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47</v>
      </c>
      <c r="N1" s="1" t="s">
        <v>12</v>
      </c>
    </row>
    <row r="2" ht="13.5" customHeight="1">
      <c r="A2" s="1">
        <v>12496.0</v>
      </c>
      <c r="B2" s="10" t="s">
        <v>48</v>
      </c>
      <c r="C2" s="10" t="s">
        <v>49</v>
      </c>
      <c r="D2" s="1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tr">
        <f t="shared" ref="M2:M1001" si="1">IF(L2&gt;54,"Old (54+)",IF(L2&gt;30,"Middle Aged (31-54)",IF(L2&lt;=30,"Adolescent (0-30)","Invalid")))</f>
        <v>Middle Aged (31-54)</v>
      </c>
      <c r="N2" s="1" t="s">
        <v>20</v>
      </c>
    </row>
    <row r="3" ht="13.5" customHeight="1">
      <c r="A3" s="1">
        <v>24107.0</v>
      </c>
      <c r="B3" s="10" t="s">
        <v>48</v>
      </c>
      <c r="C3" s="10" t="s">
        <v>50</v>
      </c>
      <c r="D3" s="1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tr">
        <f t="shared" si="1"/>
        <v>Middle Aged (31-54)</v>
      </c>
      <c r="N3" s="1" t="s">
        <v>20</v>
      </c>
    </row>
    <row r="4" ht="13.5" customHeight="1">
      <c r="A4" s="1">
        <v>14177.0</v>
      </c>
      <c r="B4" s="10" t="s">
        <v>48</v>
      </c>
      <c r="C4" s="10" t="s">
        <v>50</v>
      </c>
      <c r="D4" s="1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tr">
        <f t="shared" si="1"/>
        <v>Old (54+)</v>
      </c>
      <c r="N4" s="1" t="s">
        <v>20</v>
      </c>
    </row>
    <row r="5" ht="13.5" customHeight="1">
      <c r="A5" s="1">
        <v>24381.0</v>
      </c>
      <c r="B5" s="10" t="s">
        <v>51</v>
      </c>
      <c r="C5" s="10" t="s">
        <v>50</v>
      </c>
      <c r="D5" s="1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tr">
        <f t="shared" si="1"/>
        <v>Middle Aged (31-54)</v>
      </c>
      <c r="N5" s="1" t="s">
        <v>17</v>
      </c>
    </row>
    <row r="6" ht="13.5" customHeight="1">
      <c r="A6" s="1">
        <v>25597.0</v>
      </c>
      <c r="B6" s="10" t="s">
        <v>51</v>
      </c>
      <c r="C6" s="10" t="s">
        <v>50</v>
      </c>
      <c r="D6" s="1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tr">
        <f t="shared" si="1"/>
        <v>Middle Aged (31-54)</v>
      </c>
      <c r="N6" s="1" t="s">
        <v>17</v>
      </c>
    </row>
    <row r="7" ht="13.5" customHeight="1">
      <c r="A7" s="1">
        <v>13507.0</v>
      </c>
      <c r="B7" s="10" t="s">
        <v>48</v>
      </c>
      <c r="C7" s="10" t="s">
        <v>49</v>
      </c>
      <c r="D7" s="1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tr">
        <f t="shared" si="1"/>
        <v>Middle Aged (31-54)</v>
      </c>
      <c r="N7" s="1" t="s">
        <v>20</v>
      </c>
    </row>
    <row r="8" ht="13.5" customHeight="1">
      <c r="A8" s="1">
        <v>27974.0</v>
      </c>
      <c r="B8" s="10" t="s">
        <v>51</v>
      </c>
      <c r="C8" s="10" t="s">
        <v>50</v>
      </c>
      <c r="D8" s="1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tr">
        <f t="shared" si="1"/>
        <v>Middle Aged (31-54)</v>
      </c>
      <c r="N8" s="1" t="s">
        <v>17</v>
      </c>
    </row>
    <row r="9" ht="13.5" customHeight="1">
      <c r="A9" s="1">
        <v>19364.0</v>
      </c>
      <c r="B9" s="10" t="s">
        <v>48</v>
      </c>
      <c r="C9" s="10" t="s">
        <v>50</v>
      </c>
      <c r="D9" s="1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tr">
        <f t="shared" si="1"/>
        <v>Middle Aged (31-54)</v>
      </c>
      <c r="N9" s="1" t="s">
        <v>17</v>
      </c>
    </row>
    <row r="10" ht="13.5" customHeight="1">
      <c r="A10" s="1">
        <v>22155.0</v>
      </c>
      <c r="B10" s="10" t="s">
        <v>48</v>
      </c>
      <c r="C10" s="10" t="s">
        <v>50</v>
      </c>
      <c r="D10" s="1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tr">
        <f t="shared" si="1"/>
        <v>Old (54+)</v>
      </c>
      <c r="N10" s="1" t="s">
        <v>20</v>
      </c>
    </row>
    <row r="11" ht="13.5" customHeight="1">
      <c r="A11" s="1">
        <v>19280.0</v>
      </c>
      <c r="B11" s="10" t="s">
        <v>48</v>
      </c>
      <c r="C11" s="10" t="s">
        <v>50</v>
      </c>
      <c r="D11" s="1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tr">
        <f t="shared" si="1"/>
        <v>Middle Aged (31-54)</v>
      </c>
      <c r="N11" s="1" t="s">
        <v>17</v>
      </c>
    </row>
    <row r="12" ht="13.5" customHeight="1">
      <c r="A12" s="1">
        <v>22173.0</v>
      </c>
      <c r="B12" s="10" t="s">
        <v>48</v>
      </c>
      <c r="C12" s="10" t="s">
        <v>49</v>
      </c>
      <c r="D12" s="1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tr">
        <f t="shared" si="1"/>
        <v>Middle Aged (31-54)</v>
      </c>
      <c r="N12" s="1" t="s">
        <v>17</v>
      </c>
    </row>
    <row r="13" ht="13.5" customHeight="1">
      <c r="A13" s="1">
        <v>12697.0</v>
      </c>
      <c r="B13" s="10" t="s">
        <v>51</v>
      </c>
      <c r="C13" s="10" t="s">
        <v>49</v>
      </c>
      <c r="D13" s="1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0" t="s">
        <v>52</v>
      </c>
      <c r="K13" s="1" t="s">
        <v>27</v>
      </c>
      <c r="L13" s="1">
        <v>36.0</v>
      </c>
      <c r="M13" s="1" t="str">
        <f t="shared" si="1"/>
        <v>Middle Aged (31-54)</v>
      </c>
      <c r="N13" s="1" t="s">
        <v>20</v>
      </c>
    </row>
    <row r="14" ht="13.5" customHeight="1">
      <c r="A14" s="1">
        <v>11434.0</v>
      </c>
      <c r="B14" s="10" t="s">
        <v>48</v>
      </c>
      <c r="C14" s="10" t="s">
        <v>50</v>
      </c>
      <c r="D14" s="1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tr">
        <f t="shared" si="1"/>
        <v>Old (54+)</v>
      </c>
      <c r="N14" s="1" t="s">
        <v>20</v>
      </c>
    </row>
    <row r="15" ht="13.5" customHeight="1">
      <c r="A15" s="1">
        <v>25323.0</v>
      </c>
      <c r="B15" s="10" t="s">
        <v>48</v>
      </c>
      <c r="C15" s="10" t="s">
        <v>50</v>
      </c>
      <c r="D15" s="1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tr">
        <f t="shared" si="1"/>
        <v>Middle Aged (31-54)</v>
      </c>
      <c r="N15" s="1" t="s">
        <v>17</v>
      </c>
    </row>
    <row r="16" ht="13.5" customHeight="1">
      <c r="A16" s="1">
        <v>23542.0</v>
      </c>
      <c r="B16" s="10" t="s">
        <v>51</v>
      </c>
      <c r="C16" s="10" t="s">
        <v>50</v>
      </c>
      <c r="D16" s="1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tr">
        <f t="shared" si="1"/>
        <v>Middle Aged (31-54)</v>
      </c>
      <c r="N16" s="1" t="s">
        <v>17</v>
      </c>
    </row>
    <row r="17" ht="13.5" customHeight="1">
      <c r="A17" s="1">
        <v>20870.0</v>
      </c>
      <c r="B17" s="10" t="s">
        <v>51</v>
      </c>
      <c r="C17" s="10" t="s">
        <v>49</v>
      </c>
      <c r="D17" s="1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tr">
        <f t="shared" si="1"/>
        <v>Middle Aged (31-54)</v>
      </c>
      <c r="N17" s="1" t="s">
        <v>17</v>
      </c>
    </row>
    <row r="18" ht="13.5" customHeight="1">
      <c r="A18" s="1">
        <v>23316.0</v>
      </c>
      <c r="B18" s="10" t="s">
        <v>51</v>
      </c>
      <c r="C18" s="10" t="s">
        <v>50</v>
      </c>
      <c r="D18" s="1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tr">
        <f t="shared" si="1"/>
        <v>Old (54+)</v>
      </c>
      <c r="N18" s="1" t="s">
        <v>17</v>
      </c>
    </row>
    <row r="19" ht="13.5" customHeight="1">
      <c r="A19" s="1">
        <v>12610.0</v>
      </c>
      <c r="B19" s="10" t="s">
        <v>48</v>
      </c>
      <c r="C19" s="10" t="s">
        <v>49</v>
      </c>
      <c r="D19" s="1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tr">
        <f t="shared" si="1"/>
        <v>Middle Aged (31-54)</v>
      </c>
      <c r="N19" s="1" t="s">
        <v>20</v>
      </c>
    </row>
    <row r="20" ht="13.5" customHeight="1">
      <c r="A20" s="1">
        <v>27183.0</v>
      </c>
      <c r="B20" s="10" t="s">
        <v>51</v>
      </c>
      <c r="C20" s="10" t="s">
        <v>50</v>
      </c>
      <c r="D20" s="1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tr">
        <f t="shared" si="1"/>
        <v>Middle Aged (31-54)</v>
      </c>
      <c r="N20" s="1" t="s">
        <v>17</v>
      </c>
    </row>
    <row r="21" ht="13.5" customHeight="1">
      <c r="A21" s="1">
        <v>25940.0</v>
      </c>
      <c r="B21" s="10" t="s">
        <v>51</v>
      </c>
      <c r="C21" s="10" t="s">
        <v>50</v>
      </c>
      <c r="D21" s="1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tr">
        <f t="shared" si="1"/>
        <v>Old (54+)</v>
      </c>
      <c r="N21" s="1" t="s">
        <v>17</v>
      </c>
    </row>
    <row r="22" ht="13.5" customHeight="1">
      <c r="A22" s="1">
        <v>25598.0</v>
      </c>
      <c r="B22" s="10" t="s">
        <v>48</v>
      </c>
      <c r="C22" s="10" t="s">
        <v>49</v>
      </c>
      <c r="D22" s="1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tr">
        <f t="shared" si="1"/>
        <v>Middle Aged (31-54)</v>
      </c>
      <c r="N22" s="1" t="s">
        <v>17</v>
      </c>
    </row>
    <row r="23" ht="13.5" customHeight="1">
      <c r="A23" s="1">
        <v>21564.0</v>
      </c>
      <c r="B23" s="10" t="s">
        <v>51</v>
      </c>
      <c r="C23" s="10" t="s">
        <v>49</v>
      </c>
      <c r="D23" s="1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0" t="s">
        <v>52</v>
      </c>
      <c r="K23" s="1" t="s">
        <v>27</v>
      </c>
      <c r="L23" s="1">
        <v>35.0</v>
      </c>
      <c r="M23" s="1" t="str">
        <f t="shared" si="1"/>
        <v>Middle Aged (31-54)</v>
      </c>
      <c r="N23" s="1" t="s">
        <v>20</v>
      </c>
    </row>
    <row r="24" ht="13.5" customHeight="1">
      <c r="A24" s="1">
        <v>19193.0</v>
      </c>
      <c r="B24" s="10" t="s">
        <v>51</v>
      </c>
      <c r="C24" s="10" t="s">
        <v>50</v>
      </c>
      <c r="D24" s="1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tr">
        <f t="shared" si="1"/>
        <v>Middle Aged (31-54)</v>
      </c>
      <c r="N24" s="1" t="s">
        <v>17</v>
      </c>
    </row>
    <row r="25" ht="13.5" customHeight="1">
      <c r="A25" s="1">
        <v>26412.0</v>
      </c>
      <c r="B25" s="10" t="s">
        <v>48</v>
      </c>
      <c r="C25" s="10" t="s">
        <v>49</v>
      </c>
      <c r="D25" s="1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tr">
        <f t="shared" si="1"/>
        <v>Old (54+)</v>
      </c>
      <c r="N25" s="1" t="s">
        <v>20</v>
      </c>
    </row>
    <row r="26" ht="13.5" customHeight="1">
      <c r="A26" s="1">
        <v>27184.0</v>
      </c>
      <c r="B26" s="10" t="s">
        <v>51</v>
      </c>
      <c r="C26" s="10" t="s">
        <v>50</v>
      </c>
      <c r="D26" s="1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tr">
        <f t="shared" si="1"/>
        <v>Middle Aged (31-54)</v>
      </c>
      <c r="N26" s="1" t="s">
        <v>20</v>
      </c>
    </row>
    <row r="27" ht="13.5" customHeight="1">
      <c r="A27" s="1">
        <v>12590.0</v>
      </c>
      <c r="B27" s="10" t="s">
        <v>51</v>
      </c>
      <c r="C27" s="10" t="s">
        <v>50</v>
      </c>
      <c r="D27" s="1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tr">
        <f t="shared" si="1"/>
        <v>Old (54+)</v>
      </c>
      <c r="N27" s="1" t="s">
        <v>20</v>
      </c>
    </row>
    <row r="28" ht="13.5" customHeight="1">
      <c r="A28" s="1">
        <v>17841.0</v>
      </c>
      <c r="B28" s="10" t="s">
        <v>51</v>
      </c>
      <c r="C28" s="10" t="s">
        <v>50</v>
      </c>
      <c r="D28" s="1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tr">
        <f t="shared" si="1"/>
        <v>Adolescent (0-30)</v>
      </c>
      <c r="N28" s="1" t="s">
        <v>17</v>
      </c>
    </row>
    <row r="29" ht="13.5" customHeight="1">
      <c r="A29" s="1">
        <v>18283.0</v>
      </c>
      <c r="B29" s="10" t="s">
        <v>51</v>
      </c>
      <c r="C29" s="10" t="s">
        <v>49</v>
      </c>
      <c r="D29" s="1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tr">
        <f t="shared" si="1"/>
        <v>Middle Aged (31-54)</v>
      </c>
      <c r="N29" s="1" t="s">
        <v>20</v>
      </c>
    </row>
    <row r="30" ht="13.5" customHeight="1">
      <c r="A30" s="1">
        <v>18299.0</v>
      </c>
      <c r="B30" s="10" t="s">
        <v>48</v>
      </c>
      <c r="C30" s="10" t="s">
        <v>50</v>
      </c>
      <c r="D30" s="1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tr">
        <f t="shared" si="1"/>
        <v>Middle Aged (31-54)</v>
      </c>
      <c r="N30" s="1" t="s">
        <v>20</v>
      </c>
    </row>
    <row r="31" ht="13.5" customHeight="1">
      <c r="A31" s="1">
        <v>16466.0</v>
      </c>
      <c r="B31" s="10" t="s">
        <v>51</v>
      </c>
      <c r="C31" s="10" t="s">
        <v>49</v>
      </c>
      <c r="D31" s="1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tr">
        <f t="shared" si="1"/>
        <v>Middle Aged (31-54)</v>
      </c>
      <c r="N31" s="1" t="s">
        <v>17</v>
      </c>
    </row>
    <row r="32" ht="13.5" customHeight="1">
      <c r="A32" s="1">
        <v>19273.0</v>
      </c>
      <c r="B32" s="10" t="s">
        <v>48</v>
      </c>
      <c r="C32" s="10" t="s">
        <v>49</v>
      </c>
      <c r="D32" s="1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tr">
        <f t="shared" si="1"/>
        <v>Old (54+)</v>
      </c>
      <c r="N32" s="1" t="s">
        <v>20</v>
      </c>
    </row>
    <row r="33" ht="13.5" customHeight="1">
      <c r="A33" s="1">
        <v>22400.0</v>
      </c>
      <c r="B33" s="10" t="s">
        <v>48</v>
      </c>
      <c r="C33" s="10" t="s">
        <v>50</v>
      </c>
      <c r="D33" s="1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tr">
        <f t="shared" si="1"/>
        <v>Adolescent (0-30)</v>
      </c>
      <c r="N33" s="1" t="s">
        <v>17</v>
      </c>
    </row>
    <row r="34" ht="13.5" customHeight="1">
      <c r="A34" s="1">
        <v>20942.0</v>
      </c>
      <c r="B34" s="10" t="s">
        <v>51</v>
      </c>
      <c r="C34" s="10" t="s">
        <v>49</v>
      </c>
      <c r="D34" s="1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tr">
        <f t="shared" si="1"/>
        <v>Middle Aged (31-54)</v>
      </c>
      <c r="N34" s="1" t="s">
        <v>20</v>
      </c>
    </row>
    <row r="35" ht="13.5" customHeight="1">
      <c r="A35" s="1">
        <v>18484.0</v>
      </c>
      <c r="B35" s="10" t="s">
        <v>51</v>
      </c>
      <c r="C35" s="10" t="s">
        <v>50</v>
      </c>
      <c r="D35" s="1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tr">
        <f t="shared" si="1"/>
        <v>Middle Aged (31-54)</v>
      </c>
      <c r="N35" s="1" t="s">
        <v>17</v>
      </c>
    </row>
    <row r="36" ht="13.5" customHeight="1">
      <c r="A36" s="1">
        <v>12291.0</v>
      </c>
      <c r="B36" s="10" t="s">
        <v>51</v>
      </c>
      <c r="C36" s="10" t="s">
        <v>50</v>
      </c>
      <c r="D36" s="1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tr">
        <f t="shared" si="1"/>
        <v>Old (54+)</v>
      </c>
      <c r="N36" s="1" t="s">
        <v>17</v>
      </c>
    </row>
    <row r="37" ht="13.5" customHeight="1">
      <c r="A37" s="1">
        <v>28380.0</v>
      </c>
      <c r="B37" s="10" t="s">
        <v>51</v>
      </c>
      <c r="C37" s="10" t="s">
        <v>49</v>
      </c>
      <c r="D37" s="1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tr">
        <f t="shared" si="1"/>
        <v>Middle Aged (31-54)</v>
      </c>
      <c r="N37" s="1" t="s">
        <v>20</v>
      </c>
    </row>
    <row r="38" ht="13.5" customHeight="1">
      <c r="A38" s="1">
        <v>17891.0</v>
      </c>
      <c r="B38" s="10" t="s">
        <v>48</v>
      </c>
      <c r="C38" s="10" t="s">
        <v>49</v>
      </c>
      <c r="D38" s="1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tr">
        <f t="shared" si="1"/>
        <v>Middle Aged (31-54)</v>
      </c>
      <c r="N38" s="1" t="s">
        <v>17</v>
      </c>
    </row>
    <row r="39" ht="13.5" customHeight="1">
      <c r="A39" s="1">
        <v>27832.0</v>
      </c>
      <c r="B39" s="10" t="s">
        <v>51</v>
      </c>
      <c r="C39" s="10" t="s">
        <v>49</v>
      </c>
      <c r="D39" s="1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tr">
        <f t="shared" si="1"/>
        <v>Adolescent (0-30)</v>
      </c>
      <c r="N39" s="1" t="s">
        <v>20</v>
      </c>
    </row>
    <row r="40" ht="13.5" customHeight="1">
      <c r="A40" s="1">
        <v>26863.0</v>
      </c>
      <c r="B40" s="10" t="s">
        <v>51</v>
      </c>
      <c r="C40" s="10" t="s">
        <v>50</v>
      </c>
      <c r="D40" s="1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tr">
        <f t="shared" si="1"/>
        <v>Adolescent (0-30)</v>
      </c>
      <c r="N40" s="1" t="s">
        <v>20</v>
      </c>
    </row>
    <row r="41" ht="13.5" customHeight="1">
      <c r="A41" s="1">
        <v>16259.0</v>
      </c>
      <c r="B41" s="10" t="s">
        <v>51</v>
      </c>
      <c r="C41" s="10" t="s">
        <v>49</v>
      </c>
      <c r="D41" s="1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tr">
        <f t="shared" si="1"/>
        <v>Middle Aged (31-54)</v>
      </c>
      <c r="N41" s="1" t="s">
        <v>17</v>
      </c>
    </row>
    <row r="42" ht="13.5" customHeight="1">
      <c r="A42" s="1">
        <v>27803.0</v>
      </c>
      <c r="B42" s="10" t="s">
        <v>51</v>
      </c>
      <c r="C42" s="10" t="s">
        <v>49</v>
      </c>
      <c r="D42" s="1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tr">
        <f t="shared" si="1"/>
        <v>Middle Aged (31-54)</v>
      </c>
      <c r="N42" s="1" t="s">
        <v>20</v>
      </c>
    </row>
    <row r="43" ht="13.5" customHeight="1">
      <c r="A43" s="1">
        <v>14347.0</v>
      </c>
      <c r="B43" s="10" t="s">
        <v>51</v>
      </c>
      <c r="C43" s="10" t="s">
        <v>49</v>
      </c>
      <c r="D43" s="1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tr">
        <f t="shared" si="1"/>
        <v>Old (54+)</v>
      </c>
      <c r="N43" s="1" t="s">
        <v>17</v>
      </c>
    </row>
    <row r="44" ht="13.5" customHeight="1">
      <c r="A44" s="1">
        <v>17703.0</v>
      </c>
      <c r="B44" s="10" t="s">
        <v>48</v>
      </c>
      <c r="C44" s="10" t="s">
        <v>49</v>
      </c>
      <c r="D44" s="1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tr">
        <f t="shared" si="1"/>
        <v>Middle Aged (31-54)</v>
      </c>
      <c r="N44" s="1" t="s">
        <v>20</v>
      </c>
    </row>
    <row r="45" ht="13.5" customHeight="1">
      <c r="A45" s="1">
        <v>17185.0</v>
      </c>
      <c r="B45" s="10" t="s">
        <v>48</v>
      </c>
      <c r="C45" s="10" t="s">
        <v>49</v>
      </c>
      <c r="D45" s="1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tr">
        <f t="shared" si="1"/>
        <v>Middle Aged (31-54)</v>
      </c>
      <c r="N45" s="1" t="s">
        <v>17</v>
      </c>
    </row>
    <row r="46" ht="13.5" customHeight="1">
      <c r="A46" s="1">
        <v>29380.0</v>
      </c>
      <c r="B46" s="10" t="s">
        <v>48</v>
      </c>
      <c r="C46" s="10" t="s">
        <v>49</v>
      </c>
      <c r="D46" s="1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tr">
        <f t="shared" si="1"/>
        <v>Middle Aged (31-54)</v>
      </c>
      <c r="N46" s="1" t="s">
        <v>17</v>
      </c>
    </row>
    <row r="47" ht="13.5" customHeight="1">
      <c r="A47" s="1">
        <v>23986.0</v>
      </c>
      <c r="B47" s="10" t="s">
        <v>48</v>
      </c>
      <c r="C47" s="10" t="s">
        <v>49</v>
      </c>
      <c r="D47" s="1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tr">
        <f t="shared" si="1"/>
        <v>Old (54+)</v>
      </c>
      <c r="N47" s="1" t="s">
        <v>17</v>
      </c>
    </row>
    <row r="48" ht="13.5" customHeight="1">
      <c r="A48" s="1">
        <v>24466.0</v>
      </c>
      <c r="B48" s="10" t="s">
        <v>48</v>
      </c>
      <c r="C48" s="10" t="s">
        <v>49</v>
      </c>
      <c r="D48" s="1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tr">
        <f t="shared" si="1"/>
        <v>Middle Aged (31-54)</v>
      </c>
      <c r="N48" s="1" t="s">
        <v>17</v>
      </c>
    </row>
    <row r="49" ht="13.5" customHeight="1">
      <c r="A49" s="1">
        <v>29097.0</v>
      </c>
      <c r="B49" s="10" t="s">
        <v>51</v>
      </c>
      <c r="C49" s="10" t="s">
        <v>49</v>
      </c>
      <c r="D49" s="1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tr">
        <f t="shared" si="1"/>
        <v>Middle Aged (31-54)</v>
      </c>
      <c r="N49" s="1" t="s">
        <v>17</v>
      </c>
    </row>
    <row r="50" ht="13.5" customHeight="1">
      <c r="A50" s="1">
        <v>19487.0</v>
      </c>
      <c r="B50" s="10" t="s">
        <v>48</v>
      </c>
      <c r="C50" s="10" t="s">
        <v>50</v>
      </c>
      <c r="D50" s="1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tr">
        <f t="shared" si="1"/>
        <v>Middle Aged (31-54)</v>
      </c>
      <c r="N50" s="1" t="s">
        <v>20</v>
      </c>
    </row>
    <row r="51" ht="13.5" customHeight="1">
      <c r="A51" s="1">
        <v>14939.0</v>
      </c>
      <c r="B51" s="10" t="s">
        <v>51</v>
      </c>
      <c r="C51" s="10" t="s">
        <v>50</v>
      </c>
      <c r="D51" s="1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tr">
        <f t="shared" si="1"/>
        <v>Middle Aged (31-54)</v>
      </c>
      <c r="N51" s="1" t="s">
        <v>17</v>
      </c>
    </row>
    <row r="52" ht="13.5" customHeight="1">
      <c r="A52" s="1">
        <v>13826.0</v>
      </c>
      <c r="B52" s="10" t="s">
        <v>51</v>
      </c>
      <c r="C52" s="10" t="s">
        <v>49</v>
      </c>
      <c r="D52" s="1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tr">
        <f t="shared" si="1"/>
        <v>Adolescent (0-30)</v>
      </c>
      <c r="N52" s="1" t="s">
        <v>20</v>
      </c>
    </row>
    <row r="53" ht="13.5" customHeight="1">
      <c r="A53" s="1">
        <v>20619.0</v>
      </c>
      <c r="B53" s="10" t="s">
        <v>51</v>
      </c>
      <c r="C53" s="10" t="s">
        <v>50</v>
      </c>
      <c r="D53" s="1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0" t="s">
        <v>52</v>
      </c>
      <c r="K53" s="1" t="s">
        <v>27</v>
      </c>
      <c r="L53" s="1">
        <v>35.0</v>
      </c>
      <c r="M53" s="1" t="str">
        <f t="shared" si="1"/>
        <v>Middle Aged (31-54)</v>
      </c>
      <c r="N53" s="1" t="s">
        <v>20</v>
      </c>
    </row>
    <row r="54" ht="13.5" customHeight="1">
      <c r="A54" s="1">
        <v>12558.0</v>
      </c>
      <c r="B54" s="10" t="s">
        <v>48</v>
      </c>
      <c r="C54" s="10" t="s">
        <v>49</v>
      </c>
      <c r="D54" s="1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tr">
        <f t="shared" si="1"/>
        <v>Old (54+)</v>
      </c>
      <c r="N54" s="1" t="s">
        <v>20</v>
      </c>
    </row>
    <row r="55" ht="13.5" customHeight="1">
      <c r="A55" s="1">
        <v>24871.0</v>
      </c>
      <c r="B55" s="10" t="s">
        <v>51</v>
      </c>
      <c r="C55" s="10" t="s">
        <v>49</v>
      </c>
      <c r="D55" s="1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tr">
        <f t="shared" si="1"/>
        <v>Old (54+)</v>
      </c>
      <c r="N55" s="1" t="s">
        <v>20</v>
      </c>
    </row>
    <row r="56" ht="13.5" customHeight="1">
      <c r="A56" s="1">
        <v>17319.0</v>
      </c>
      <c r="B56" s="10" t="s">
        <v>51</v>
      </c>
      <c r="C56" s="10" t="s">
        <v>49</v>
      </c>
      <c r="D56" s="1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tr">
        <f t="shared" si="1"/>
        <v>Middle Aged (31-54)</v>
      </c>
      <c r="N56" s="1" t="s">
        <v>20</v>
      </c>
    </row>
    <row r="57" ht="13.5" customHeight="1">
      <c r="A57" s="1">
        <v>28906.0</v>
      </c>
      <c r="B57" s="10" t="s">
        <v>48</v>
      </c>
      <c r="C57" s="10" t="s">
        <v>50</v>
      </c>
      <c r="D57" s="1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0" t="s">
        <v>52</v>
      </c>
      <c r="K57" s="1" t="s">
        <v>19</v>
      </c>
      <c r="L57" s="1">
        <v>54.0</v>
      </c>
      <c r="M57" s="1" t="str">
        <f t="shared" si="1"/>
        <v>Middle Aged (31-54)</v>
      </c>
      <c r="N57" s="1" t="s">
        <v>20</v>
      </c>
    </row>
    <row r="58" ht="13.5" customHeight="1">
      <c r="A58" s="1">
        <v>12808.0</v>
      </c>
      <c r="B58" s="10" t="s">
        <v>48</v>
      </c>
      <c r="C58" s="10" t="s">
        <v>50</v>
      </c>
      <c r="D58" s="1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tr">
        <f t="shared" si="1"/>
        <v>Middle Aged (31-54)</v>
      </c>
      <c r="N58" s="1" t="s">
        <v>17</v>
      </c>
    </row>
    <row r="59" ht="13.5" customHeight="1">
      <c r="A59" s="1">
        <v>20567.0</v>
      </c>
      <c r="B59" s="10" t="s">
        <v>48</v>
      </c>
      <c r="C59" s="10" t="s">
        <v>50</v>
      </c>
      <c r="D59" s="1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tr">
        <f t="shared" si="1"/>
        <v>Old (54+)</v>
      </c>
      <c r="N59" s="1" t="s">
        <v>17</v>
      </c>
    </row>
    <row r="60" ht="13.5" customHeight="1">
      <c r="A60" s="1">
        <v>25502.0</v>
      </c>
      <c r="B60" s="10" t="s">
        <v>48</v>
      </c>
      <c r="C60" s="10" t="s">
        <v>49</v>
      </c>
      <c r="D60" s="1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tr">
        <f t="shared" si="1"/>
        <v>Middle Aged (31-54)</v>
      </c>
      <c r="N60" s="1" t="s">
        <v>17</v>
      </c>
    </row>
    <row r="61" ht="13.5" customHeight="1">
      <c r="A61" s="1">
        <v>15580.0</v>
      </c>
      <c r="B61" s="10" t="s">
        <v>48</v>
      </c>
      <c r="C61" s="10" t="s">
        <v>50</v>
      </c>
      <c r="D61" s="1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tr">
        <f t="shared" si="1"/>
        <v>Middle Aged (31-54)</v>
      </c>
      <c r="N61" s="1" t="s">
        <v>17</v>
      </c>
    </row>
    <row r="62" ht="13.5" customHeight="1">
      <c r="A62" s="1">
        <v>24185.0</v>
      </c>
      <c r="B62" s="10" t="s">
        <v>51</v>
      </c>
      <c r="C62" s="10" t="s">
        <v>49</v>
      </c>
      <c r="D62" s="1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tr">
        <f t="shared" si="1"/>
        <v>Middle Aged (31-54)</v>
      </c>
      <c r="N62" s="1" t="s">
        <v>20</v>
      </c>
    </row>
    <row r="63" ht="13.5" customHeight="1">
      <c r="A63" s="1">
        <v>19291.0</v>
      </c>
      <c r="B63" s="10" t="s">
        <v>51</v>
      </c>
      <c r="C63" s="10" t="s">
        <v>49</v>
      </c>
      <c r="D63" s="1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tr">
        <f t="shared" si="1"/>
        <v>Middle Aged (31-54)</v>
      </c>
      <c r="N63" s="1" t="s">
        <v>20</v>
      </c>
    </row>
    <row r="64" ht="13.5" customHeight="1">
      <c r="A64" s="1">
        <v>16713.0</v>
      </c>
      <c r="B64" s="10" t="s">
        <v>48</v>
      </c>
      <c r="C64" s="10" t="s">
        <v>50</v>
      </c>
      <c r="D64" s="1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tr">
        <f t="shared" si="1"/>
        <v>Middle Aged (31-54)</v>
      </c>
      <c r="N64" s="1" t="s">
        <v>17</v>
      </c>
    </row>
    <row r="65" ht="13.5" customHeight="1">
      <c r="A65" s="1">
        <v>16185.0</v>
      </c>
      <c r="B65" s="10" t="s">
        <v>51</v>
      </c>
      <c r="C65" s="10" t="s">
        <v>50</v>
      </c>
      <c r="D65" s="1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0" t="s">
        <v>52</v>
      </c>
      <c r="K65" s="1" t="s">
        <v>27</v>
      </c>
      <c r="L65" s="1">
        <v>41.0</v>
      </c>
      <c r="M65" s="1" t="str">
        <f t="shared" si="1"/>
        <v>Middle Aged (31-54)</v>
      </c>
      <c r="N65" s="1" t="s">
        <v>20</v>
      </c>
    </row>
    <row r="66" ht="13.5" customHeight="1">
      <c r="A66" s="1">
        <v>14927.0</v>
      </c>
      <c r="B66" s="10" t="s">
        <v>48</v>
      </c>
      <c r="C66" s="10" t="s">
        <v>49</v>
      </c>
      <c r="D66" s="1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tr">
        <f t="shared" si="1"/>
        <v>Middle Aged (31-54)</v>
      </c>
      <c r="N66" s="1" t="s">
        <v>17</v>
      </c>
    </row>
    <row r="67" ht="13.5" customHeight="1">
      <c r="A67" s="1">
        <v>29337.0</v>
      </c>
      <c r="B67" s="10" t="s">
        <v>51</v>
      </c>
      <c r="C67" s="10" t="s">
        <v>50</v>
      </c>
      <c r="D67" s="1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tr">
        <f t="shared" si="1"/>
        <v>Old (54+)</v>
      </c>
      <c r="N67" s="1" t="s">
        <v>20</v>
      </c>
    </row>
    <row r="68" ht="13.5" customHeight="1">
      <c r="A68" s="1">
        <v>29355.0</v>
      </c>
      <c r="B68" s="10" t="s">
        <v>48</v>
      </c>
      <c r="C68" s="10" t="s">
        <v>49</v>
      </c>
      <c r="D68" s="1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tr">
        <f t="shared" si="1"/>
        <v>Middle Aged (31-54)</v>
      </c>
      <c r="N68" s="1" t="s">
        <v>17</v>
      </c>
    </row>
    <row r="69" ht="13.5" customHeight="1">
      <c r="A69" s="1">
        <v>25303.0</v>
      </c>
      <c r="B69" s="10" t="s">
        <v>51</v>
      </c>
      <c r="C69" s="10" t="s">
        <v>50</v>
      </c>
      <c r="D69" s="1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tr">
        <f t="shared" si="1"/>
        <v>Middle Aged (31-54)</v>
      </c>
      <c r="N69" s="1" t="s">
        <v>17</v>
      </c>
    </row>
    <row r="70" ht="13.5" customHeight="1">
      <c r="A70" s="1">
        <v>14813.0</v>
      </c>
      <c r="B70" s="10" t="s">
        <v>51</v>
      </c>
      <c r="C70" s="10" t="s">
        <v>49</v>
      </c>
      <c r="D70" s="1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tr">
        <f t="shared" si="1"/>
        <v>Middle Aged (31-54)</v>
      </c>
      <c r="N70" s="1" t="s">
        <v>17</v>
      </c>
    </row>
    <row r="71" ht="13.5" customHeight="1">
      <c r="A71" s="1">
        <v>16438.0</v>
      </c>
      <c r="B71" s="10" t="s">
        <v>48</v>
      </c>
      <c r="C71" s="10" t="s">
        <v>49</v>
      </c>
      <c r="D71" s="1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tr">
        <f t="shared" si="1"/>
        <v>Adolescent (0-30)</v>
      </c>
      <c r="N71" s="1" t="s">
        <v>20</v>
      </c>
    </row>
    <row r="72" ht="13.5" customHeight="1">
      <c r="A72" s="1">
        <v>14238.0</v>
      </c>
      <c r="B72" s="10" t="s">
        <v>48</v>
      </c>
      <c r="C72" s="10" t="s">
        <v>50</v>
      </c>
      <c r="D72" s="1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0" t="s">
        <v>52</v>
      </c>
      <c r="K72" s="1" t="s">
        <v>27</v>
      </c>
      <c r="L72" s="1">
        <v>36.0</v>
      </c>
      <c r="M72" s="1" t="str">
        <f t="shared" si="1"/>
        <v>Middle Aged (31-54)</v>
      </c>
      <c r="N72" s="1" t="s">
        <v>17</v>
      </c>
    </row>
    <row r="73" ht="13.5" customHeight="1">
      <c r="A73" s="1">
        <v>16200.0</v>
      </c>
      <c r="B73" s="10" t="s">
        <v>51</v>
      </c>
      <c r="C73" s="10" t="s">
        <v>49</v>
      </c>
      <c r="D73" s="1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tr">
        <f t="shared" si="1"/>
        <v>Middle Aged (31-54)</v>
      </c>
      <c r="N73" s="1" t="s">
        <v>20</v>
      </c>
    </row>
    <row r="74" ht="13.5" customHeight="1">
      <c r="A74" s="1">
        <v>24857.0</v>
      </c>
      <c r="B74" s="10" t="s">
        <v>48</v>
      </c>
      <c r="C74" s="10" t="s">
        <v>49</v>
      </c>
      <c r="D74" s="1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tr">
        <f t="shared" si="1"/>
        <v>Middle Aged (31-54)</v>
      </c>
      <c r="N74" s="1" t="s">
        <v>20</v>
      </c>
    </row>
    <row r="75" ht="13.5" customHeight="1">
      <c r="A75" s="1">
        <v>26956.0</v>
      </c>
      <c r="B75" s="10" t="s">
        <v>51</v>
      </c>
      <c r="C75" s="10" t="s">
        <v>49</v>
      </c>
      <c r="D75" s="1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tr">
        <f t="shared" si="1"/>
        <v>Middle Aged (31-54)</v>
      </c>
      <c r="N75" s="1" t="s">
        <v>17</v>
      </c>
    </row>
    <row r="76" ht="13.5" customHeight="1">
      <c r="A76" s="1">
        <v>14517.0</v>
      </c>
      <c r="B76" s="10" t="s">
        <v>48</v>
      </c>
      <c r="C76" s="10" t="s">
        <v>49</v>
      </c>
      <c r="D76" s="1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tr">
        <f t="shared" si="1"/>
        <v>Old (54+)</v>
      </c>
      <c r="N76" s="1" t="s">
        <v>20</v>
      </c>
    </row>
    <row r="77" ht="13.5" customHeight="1">
      <c r="A77" s="1">
        <v>12678.0</v>
      </c>
      <c r="B77" s="10" t="s">
        <v>51</v>
      </c>
      <c r="C77" s="10" t="s">
        <v>49</v>
      </c>
      <c r="D77" s="1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tr">
        <f t="shared" si="1"/>
        <v>Middle Aged (31-54)</v>
      </c>
      <c r="N77" s="1" t="s">
        <v>20</v>
      </c>
    </row>
    <row r="78" ht="13.5" customHeight="1">
      <c r="A78" s="1">
        <v>16188.0</v>
      </c>
      <c r="B78" s="10" t="s">
        <v>51</v>
      </c>
      <c r="C78" s="10" t="s">
        <v>49</v>
      </c>
      <c r="D78" s="1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tr">
        <f t="shared" si="1"/>
        <v>Adolescent (0-30)</v>
      </c>
      <c r="N78" s="1" t="s">
        <v>20</v>
      </c>
    </row>
    <row r="79" ht="13.5" customHeight="1">
      <c r="A79" s="1">
        <v>27969.0</v>
      </c>
      <c r="B79" s="10" t="s">
        <v>48</v>
      </c>
      <c r="C79" s="10" t="s">
        <v>50</v>
      </c>
      <c r="D79" s="1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0" t="s">
        <v>52</v>
      </c>
      <c r="K79" s="1" t="s">
        <v>27</v>
      </c>
      <c r="L79" s="1">
        <v>29.0</v>
      </c>
      <c r="M79" s="1" t="str">
        <f t="shared" si="1"/>
        <v>Adolescent (0-30)</v>
      </c>
      <c r="N79" s="1" t="s">
        <v>17</v>
      </c>
    </row>
    <row r="80" ht="13.5" customHeight="1">
      <c r="A80" s="1">
        <v>15752.0</v>
      </c>
      <c r="B80" s="10" t="s">
        <v>48</v>
      </c>
      <c r="C80" s="10" t="s">
        <v>50</v>
      </c>
      <c r="D80" s="1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tr">
        <f t="shared" si="1"/>
        <v>Middle Aged (31-54)</v>
      </c>
      <c r="N80" s="1" t="s">
        <v>17</v>
      </c>
    </row>
    <row r="81" ht="13.5" customHeight="1">
      <c r="A81" s="1">
        <v>27745.0</v>
      </c>
      <c r="B81" s="10" t="s">
        <v>51</v>
      </c>
      <c r="C81" s="10" t="s">
        <v>50</v>
      </c>
      <c r="D81" s="1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tr">
        <f t="shared" si="1"/>
        <v>Old (54+)</v>
      </c>
      <c r="N81" s="1" t="s">
        <v>17</v>
      </c>
    </row>
    <row r="82" ht="13.5" customHeight="1">
      <c r="A82" s="1">
        <v>20828.0</v>
      </c>
      <c r="B82" s="10" t="s">
        <v>48</v>
      </c>
      <c r="C82" s="10" t="s">
        <v>49</v>
      </c>
      <c r="D82" s="1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tr">
        <f t="shared" si="1"/>
        <v>Middle Aged (31-54)</v>
      </c>
      <c r="N82" s="1" t="s">
        <v>17</v>
      </c>
    </row>
    <row r="83" ht="13.5" customHeight="1">
      <c r="A83" s="1">
        <v>19461.0</v>
      </c>
      <c r="B83" s="10" t="s">
        <v>51</v>
      </c>
      <c r="C83" s="10" t="s">
        <v>49</v>
      </c>
      <c r="D83" s="1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tr">
        <f t="shared" si="1"/>
        <v>Middle Aged (31-54)</v>
      </c>
      <c r="N83" s="1" t="s">
        <v>20</v>
      </c>
    </row>
    <row r="84" ht="13.5" customHeight="1">
      <c r="A84" s="1">
        <v>26941.0</v>
      </c>
      <c r="B84" s="10" t="s">
        <v>48</v>
      </c>
      <c r="C84" s="10" t="s">
        <v>50</v>
      </c>
      <c r="D84" s="1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tr">
        <f t="shared" si="1"/>
        <v>Middle Aged (31-54)</v>
      </c>
      <c r="N84" s="1" t="s">
        <v>17</v>
      </c>
    </row>
    <row r="85" ht="13.5" customHeight="1">
      <c r="A85" s="1">
        <v>28412.0</v>
      </c>
      <c r="B85" s="10" t="s">
        <v>51</v>
      </c>
      <c r="C85" s="10" t="s">
        <v>50</v>
      </c>
      <c r="D85" s="1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tr">
        <f t="shared" si="1"/>
        <v>Adolescent (0-30)</v>
      </c>
      <c r="N85" s="1" t="s">
        <v>20</v>
      </c>
    </row>
    <row r="86" ht="13.5" customHeight="1">
      <c r="A86" s="1">
        <v>24485.0</v>
      </c>
      <c r="B86" s="10" t="s">
        <v>51</v>
      </c>
      <c r="C86" s="10" t="s">
        <v>50</v>
      </c>
      <c r="D86" s="1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tr">
        <f t="shared" si="1"/>
        <v>Middle Aged (31-54)</v>
      </c>
      <c r="N86" s="1" t="s">
        <v>17</v>
      </c>
    </row>
    <row r="87" ht="13.5" customHeight="1">
      <c r="A87" s="1">
        <v>16514.0</v>
      </c>
      <c r="B87" s="10" t="s">
        <v>51</v>
      </c>
      <c r="C87" s="10" t="s">
        <v>50</v>
      </c>
      <c r="D87" s="1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tr">
        <f t="shared" si="1"/>
        <v>Adolescent (0-30)</v>
      </c>
      <c r="N87" s="1" t="s">
        <v>17</v>
      </c>
    </row>
    <row r="88" ht="13.5" customHeight="1">
      <c r="A88" s="1">
        <v>17191.0</v>
      </c>
      <c r="B88" s="10" t="s">
        <v>51</v>
      </c>
      <c r="C88" s="10" t="s">
        <v>50</v>
      </c>
      <c r="D88" s="1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tr">
        <f t="shared" si="1"/>
        <v>Middle Aged (31-54)</v>
      </c>
      <c r="N88" s="1" t="s">
        <v>17</v>
      </c>
    </row>
    <row r="89" ht="13.5" customHeight="1">
      <c r="A89" s="1">
        <v>19608.0</v>
      </c>
      <c r="B89" s="10" t="s">
        <v>48</v>
      </c>
      <c r="C89" s="10" t="s">
        <v>50</v>
      </c>
      <c r="D89" s="1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tr">
        <f t="shared" si="1"/>
        <v>Middle Aged (31-54)</v>
      </c>
      <c r="N89" s="1" t="s">
        <v>20</v>
      </c>
    </row>
    <row r="90" ht="13.5" customHeight="1">
      <c r="A90" s="1">
        <v>24119.0</v>
      </c>
      <c r="B90" s="10" t="s">
        <v>51</v>
      </c>
      <c r="C90" s="10" t="s">
        <v>50</v>
      </c>
      <c r="D90" s="1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tr">
        <f t="shared" si="1"/>
        <v>Adolescent (0-30)</v>
      </c>
      <c r="N90" s="1" t="s">
        <v>20</v>
      </c>
    </row>
    <row r="91" ht="13.5" customHeight="1">
      <c r="A91" s="1">
        <v>25458.0</v>
      </c>
      <c r="B91" s="10" t="s">
        <v>48</v>
      </c>
      <c r="C91" s="10" t="s">
        <v>50</v>
      </c>
      <c r="D91" s="1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tr">
        <f t="shared" si="1"/>
        <v>Middle Aged (31-54)</v>
      </c>
      <c r="N91" s="1" t="s">
        <v>17</v>
      </c>
    </row>
    <row r="92" ht="13.5" customHeight="1">
      <c r="A92" s="1">
        <v>26886.0</v>
      </c>
      <c r="B92" s="10" t="s">
        <v>51</v>
      </c>
      <c r="C92" s="10" t="s">
        <v>49</v>
      </c>
      <c r="D92" s="1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tr">
        <f t="shared" si="1"/>
        <v>Adolescent (0-30)</v>
      </c>
      <c r="N92" s="1" t="s">
        <v>17</v>
      </c>
    </row>
    <row r="93" ht="13.5" customHeight="1">
      <c r="A93" s="1">
        <v>28436.0</v>
      </c>
      <c r="B93" s="10" t="s">
        <v>51</v>
      </c>
      <c r="C93" s="10" t="s">
        <v>50</v>
      </c>
      <c r="D93" s="1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tr">
        <f t="shared" si="1"/>
        <v>Adolescent (0-30)</v>
      </c>
      <c r="N93" s="1" t="s">
        <v>17</v>
      </c>
    </row>
    <row r="94" ht="13.5" customHeight="1">
      <c r="A94" s="1">
        <v>19562.0</v>
      </c>
      <c r="B94" s="10" t="s">
        <v>51</v>
      </c>
      <c r="C94" s="10" t="s">
        <v>49</v>
      </c>
      <c r="D94" s="1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tr">
        <f t="shared" si="1"/>
        <v>Middle Aged (31-54)</v>
      </c>
      <c r="N94" s="1" t="s">
        <v>17</v>
      </c>
    </row>
    <row r="95" ht="13.5" customHeight="1">
      <c r="A95" s="1">
        <v>15608.0</v>
      </c>
      <c r="B95" s="10" t="s">
        <v>51</v>
      </c>
      <c r="C95" s="10" t="s">
        <v>49</v>
      </c>
      <c r="D95" s="1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tr">
        <f t="shared" si="1"/>
        <v>Middle Aged (31-54)</v>
      </c>
      <c r="N95" s="1" t="s">
        <v>20</v>
      </c>
    </row>
    <row r="96" ht="13.5" customHeight="1">
      <c r="A96" s="1">
        <v>16487.0</v>
      </c>
      <c r="B96" s="10" t="s">
        <v>51</v>
      </c>
      <c r="C96" s="10" t="s">
        <v>49</v>
      </c>
      <c r="D96" s="1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tr">
        <f t="shared" si="1"/>
        <v>Old (54+)</v>
      </c>
      <c r="N96" s="1" t="s">
        <v>20</v>
      </c>
    </row>
    <row r="97" ht="13.5" customHeight="1">
      <c r="A97" s="1">
        <v>17197.0</v>
      </c>
      <c r="B97" s="10" t="s">
        <v>51</v>
      </c>
      <c r="C97" s="10" t="s">
        <v>49</v>
      </c>
      <c r="D97" s="1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0" t="s">
        <v>52</v>
      </c>
      <c r="K97" s="1" t="s">
        <v>19</v>
      </c>
      <c r="L97" s="1">
        <v>62.0</v>
      </c>
      <c r="M97" s="1" t="str">
        <f t="shared" si="1"/>
        <v>Old (54+)</v>
      </c>
      <c r="N97" s="1" t="s">
        <v>20</v>
      </c>
    </row>
    <row r="98" ht="13.5" customHeight="1">
      <c r="A98" s="1">
        <v>12507.0</v>
      </c>
      <c r="B98" s="10" t="s">
        <v>48</v>
      </c>
      <c r="C98" s="10" t="s">
        <v>50</v>
      </c>
      <c r="D98" s="1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tr">
        <f t="shared" si="1"/>
        <v>Middle Aged (31-54)</v>
      </c>
      <c r="N98" s="1" t="s">
        <v>20</v>
      </c>
    </row>
    <row r="99" ht="13.5" customHeight="1">
      <c r="A99" s="1">
        <v>23940.0</v>
      </c>
      <c r="B99" s="10" t="s">
        <v>48</v>
      </c>
      <c r="C99" s="10" t="s">
        <v>50</v>
      </c>
      <c r="D99" s="1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tr">
        <f t="shared" si="1"/>
        <v>Middle Aged (31-54)</v>
      </c>
      <c r="N99" s="1" t="s">
        <v>17</v>
      </c>
    </row>
    <row r="100" ht="13.5" customHeight="1">
      <c r="A100" s="1">
        <v>19441.0</v>
      </c>
      <c r="B100" s="10" t="s">
        <v>48</v>
      </c>
      <c r="C100" s="10" t="s">
        <v>50</v>
      </c>
      <c r="D100" s="1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tr">
        <f t="shared" si="1"/>
        <v>Adolescent (0-30)</v>
      </c>
      <c r="N100" s="1" t="s">
        <v>17</v>
      </c>
    </row>
    <row r="101" ht="13.5" customHeight="1">
      <c r="A101" s="1">
        <v>26852.0</v>
      </c>
      <c r="B101" s="10" t="s">
        <v>48</v>
      </c>
      <c r="C101" s="10" t="s">
        <v>49</v>
      </c>
      <c r="D101" s="1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tr">
        <f t="shared" si="1"/>
        <v>Middle Aged (31-54)</v>
      </c>
      <c r="N101" s="1" t="s">
        <v>20</v>
      </c>
    </row>
    <row r="102" ht="13.5" customHeight="1">
      <c r="A102" s="1">
        <v>12274.0</v>
      </c>
      <c r="B102" s="10" t="s">
        <v>51</v>
      </c>
      <c r="C102" s="10" t="s">
        <v>50</v>
      </c>
      <c r="D102" s="1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tr">
        <f t="shared" si="1"/>
        <v>Middle Aged (31-54)</v>
      </c>
      <c r="N102" s="1" t="s">
        <v>20</v>
      </c>
    </row>
    <row r="103" ht="13.5" customHeight="1">
      <c r="A103" s="1">
        <v>20236.0</v>
      </c>
      <c r="B103" s="10" t="s">
        <v>51</v>
      </c>
      <c r="C103" s="10" t="s">
        <v>50</v>
      </c>
      <c r="D103" s="1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tr">
        <f t="shared" si="1"/>
        <v>Middle Aged (31-54)</v>
      </c>
      <c r="N103" s="1" t="s">
        <v>17</v>
      </c>
    </row>
    <row r="104" ht="13.5" customHeight="1">
      <c r="A104" s="1">
        <v>24149.0</v>
      </c>
      <c r="B104" s="10" t="s">
        <v>48</v>
      </c>
      <c r="C104" s="10" t="s">
        <v>50</v>
      </c>
      <c r="D104" s="1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tr">
        <f t="shared" si="1"/>
        <v>Middle Aged (31-54)</v>
      </c>
      <c r="N104" s="1" t="s">
        <v>20</v>
      </c>
    </row>
    <row r="105" ht="13.5" customHeight="1">
      <c r="A105" s="1">
        <v>26139.0</v>
      </c>
      <c r="B105" s="10" t="s">
        <v>51</v>
      </c>
      <c r="C105" s="10" t="s">
        <v>50</v>
      </c>
      <c r="D105" s="1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tr">
        <f t="shared" si="1"/>
        <v>Middle Aged (31-54)</v>
      </c>
      <c r="N105" s="1" t="s">
        <v>20</v>
      </c>
    </row>
    <row r="106" ht="13.5" customHeight="1">
      <c r="A106" s="1">
        <v>18491.0</v>
      </c>
      <c r="B106" s="10" t="s">
        <v>51</v>
      </c>
      <c r="C106" s="10" t="s">
        <v>49</v>
      </c>
      <c r="D106" s="1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tr">
        <f t="shared" si="1"/>
        <v>Middle Aged (31-54)</v>
      </c>
      <c r="N106" s="1" t="s">
        <v>17</v>
      </c>
    </row>
    <row r="107" ht="13.5" customHeight="1">
      <c r="A107" s="1">
        <v>22707.0</v>
      </c>
      <c r="B107" s="10" t="s">
        <v>51</v>
      </c>
      <c r="C107" s="10" t="s">
        <v>49</v>
      </c>
      <c r="D107" s="1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tr">
        <f t="shared" si="1"/>
        <v>Adolescent (0-30)</v>
      </c>
      <c r="N107" s="1" t="s">
        <v>20</v>
      </c>
    </row>
    <row r="108" ht="13.5" customHeight="1">
      <c r="A108" s="1">
        <v>20430.0</v>
      </c>
      <c r="B108" s="10" t="s">
        <v>48</v>
      </c>
      <c r="C108" s="10" t="s">
        <v>50</v>
      </c>
      <c r="D108" s="1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tr">
        <f t="shared" si="1"/>
        <v>Middle Aged (31-54)</v>
      </c>
      <c r="N108" s="1" t="s">
        <v>17</v>
      </c>
    </row>
    <row r="109" ht="13.5" customHeight="1">
      <c r="A109" s="1">
        <v>27494.0</v>
      </c>
      <c r="B109" s="10" t="s">
        <v>51</v>
      </c>
      <c r="C109" s="10" t="s">
        <v>49</v>
      </c>
      <c r="D109" s="1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tr">
        <f t="shared" si="1"/>
        <v>Middle Aged (31-54)</v>
      </c>
      <c r="N109" s="1" t="s">
        <v>17</v>
      </c>
    </row>
    <row r="110" ht="13.5" customHeight="1">
      <c r="A110" s="1">
        <v>26829.0</v>
      </c>
      <c r="B110" s="10" t="s">
        <v>48</v>
      </c>
      <c r="C110" s="10" t="s">
        <v>49</v>
      </c>
      <c r="D110" s="1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tr">
        <f t="shared" si="1"/>
        <v>Middle Aged (31-54)</v>
      </c>
      <c r="N110" s="1" t="s">
        <v>17</v>
      </c>
    </row>
    <row r="111" ht="13.5" customHeight="1">
      <c r="A111" s="1">
        <v>28395.0</v>
      </c>
      <c r="B111" s="10" t="s">
        <v>51</v>
      </c>
      <c r="C111" s="10" t="s">
        <v>50</v>
      </c>
      <c r="D111" s="1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tr">
        <f t="shared" si="1"/>
        <v>Middle Aged (31-54)</v>
      </c>
      <c r="N111" s="1" t="s">
        <v>17</v>
      </c>
    </row>
    <row r="112" ht="13.5" customHeight="1">
      <c r="A112" s="1">
        <v>21006.0</v>
      </c>
      <c r="B112" s="10" t="s">
        <v>51</v>
      </c>
      <c r="C112" s="10" t="s">
        <v>49</v>
      </c>
      <c r="D112" s="1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tr">
        <f t="shared" si="1"/>
        <v>Middle Aged (31-54)</v>
      </c>
      <c r="N112" s="1" t="s">
        <v>17</v>
      </c>
    </row>
    <row r="113" ht="13.5" customHeight="1">
      <c r="A113" s="1">
        <v>14682.0</v>
      </c>
      <c r="B113" s="10" t="s">
        <v>51</v>
      </c>
      <c r="C113" s="10" t="s">
        <v>49</v>
      </c>
      <c r="D113" s="1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tr">
        <f t="shared" si="1"/>
        <v>Middle Aged (31-54)</v>
      </c>
      <c r="N113" s="1" t="s">
        <v>20</v>
      </c>
    </row>
    <row r="114" ht="13.5" customHeight="1">
      <c r="A114" s="1">
        <v>17650.0</v>
      </c>
      <c r="B114" s="10" t="s">
        <v>51</v>
      </c>
      <c r="C114" s="10" t="s">
        <v>49</v>
      </c>
      <c r="D114" s="1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tr">
        <f t="shared" si="1"/>
        <v>Middle Aged (31-54)</v>
      </c>
      <c r="N114" s="1" t="s">
        <v>20</v>
      </c>
    </row>
    <row r="115" ht="13.5" customHeight="1">
      <c r="A115" s="1">
        <v>29191.0</v>
      </c>
      <c r="B115" s="10" t="s">
        <v>51</v>
      </c>
      <c r="C115" s="10" t="s">
        <v>49</v>
      </c>
      <c r="D115" s="1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tr">
        <f t="shared" si="1"/>
        <v>Middle Aged (31-54)</v>
      </c>
      <c r="N115" s="1" t="s">
        <v>17</v>
      </c>
    </row>
    <row r="116" ht="13.5" customHeight="1">
      <c r="A116" s="1">
        <v>15030.0</v>
      </c>
      <c r="B116" s="10" t="s">
        <v>48</v>
      </c>
      <c r="C116" s="10" t="s">
        <v>50</v>
      </c>
      <c r="D116" s="1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tr">
        <f t="shared" si="1"/>
        <v>Adolescent (0-30)</v>
      </c>
      <c r="N116" s="1" t="s">
        <v>17</v>
      </c>
    </row>
    <row r="117" ht="13.5" customHeight="1">
      <c r="A117" s="1">
        <v>24140.0</v>
      </c>
      <c r="B117" s="10" t="s">
        <v>51</v>
      </c>
      <c r="C117" s="10" t="s">
        <v>50</v>
      </c>
      <c r="D117" s="1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tr">
        <f t="shared" si="1"/>
        <v>Adolescent (0-30)</v>
      </c>
      <c r="N117" s="1" t="s">
        <v>17</v>
      </c>
    </row>
    <row r="118" ht="13.5" customHeight="1">
      <c r="A118" s="1">
        <v>22496.0</v>
      </c>
      <c r="B118" s="10" t="s">
        <v>48</v>
      </c>
      <c r="C118" s="10" t="s">
        <v>49</v>
      </c>
      <c r="D118" s="1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tr">
        <f t="shared" si="1"/>
        <v>Middle Aged (31-54)</v>
      </c>
      <c r="N118" s="1" t="s">
        <v>20</v>
      </c>
    </row>
    <row r="119" ht="13.5" customHeight="1">
      <c r="A119" s="1">
        <v>24065.0</v>
      </c>
      <c r="B119" s="10" t="s">
        <v>51</v>
      </c>
      <c r="C119" s="10" t="s">
        <v>49</v>
      </c>
      <c r="D119" s="1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tr">
        <f t="shared" si="1"/>
        <v>Middle Aged (31-54)</v>
      </c>
      <c r="N119" s="1" t="s">
        <v>17</v>
      </c>
    </row>
    <row r="120" ht="13.5" customHeight="1">
      <c r="A120" s="1">
        <v>19914.0</v>
      </c>
      <c r="B120" s="10" t="s">
        <v>48</v>
      </c>
      <c r="C120" s="10" t="s">
        <v>50</v>
      </c>
      <c r="D120" s="1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tr">
        <f t="shared" si="1"/>
        <v>Old (54+)</v>
      </c>
      <c r="N120" s="1" t="s">
        <v>20</v>
      </c>
    </row>
    <row r="121" ht="13.5" customHeight="1">
      <c r="A121" s="1">
        <v>12871.0</v>
      </c>
      <c r="B121" s="10" t="s">
        <v>51</v>
      </c>
      <c r="C121" s="10" t="s">
        <v>49</v>
      </c>
      <c r="D121" s="1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tr">
        <f t="shared" si="1"/>
        <v>Adolescent (0-30)</v>
      </c>
      <c r="N121" s="1" t="s">
        <v>20</v>
      </c>
    </row>
    <row r="122" ht="13.5" customHeight="1">
      <c r="A122" s="1">
        <v>22988.0</v>
      </c>
      <c r="B122" s="10" t="s">
        <v>48</v>
      </c>
      <c r="C122" s="10" t="s">
        <v>49</v>
      </c>
      <c r="D122" s="1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tr">
        <f t="shared" si="1"/>
        <v>Old (54+)</v>
      </c>
      <c r="N122" s="1" t="s">
        <v>17</v>
      </c>
    </row>
    <row r="123" ht="13.5" customHeight="1">
      <c r="A123" s="1">
        <v>15922.0</v>
      </c>
      <c r="B123" s="10" t="s">
        <v>48</v>
      </c>
      <c r="C123" s="10" t="s">
        <v>50</v>
      </c>
      <c r="D123" s="1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tr">
        <f t="shared" si="1"/>
        <v>Middle Aged (31-54)</v>
      </c>
      <c r="N123" s="1" t="s">
        <v>20</v>
      </c>
    </row>
    <row r="124" ht="13.5" customHeight="1">
      <c r="A124" s="1">
        <v>12344.0</v>
      </c>
      <c r="B124" s="10" t="s">
        <v>51</v>
      </c>
      <c r="C124" s="10" t="s">
        <v>49</v>
      </c>
      <c r="D124" s="1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0" t="s">
        <v>52</v>
      </c>
      <c r="K124" s="1" t="s">
        <v>27</v>
      </c>
      <c r="L124" s="1">
        <v>31.0</v>
      </c>
      <c r="M124" s="1" t="str">
        <f t="shared" si="1"/>
        <v>Middle Aged (31-54)</v>
      </c>
      <c r="N124" s="1" t="s">
        <v>20</v>
      </c>
    </row>
    <row r="125" ht="13.5" customHeight="1">
      <c r="A125" s="1">
        <v>23627.0</v>
      </c>
      <c r="B125" s="10" t="s">
        <v>51</v>
      </c>
      <c r="C125" s="10" t="s">
        <v>49</v>
      </c>
      <c r="D125" s="1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tr">
        <f t="shared" si="1"/>
        <v>Old (54+)</v>
      </c>
      <c r="N125" s="1" t="s">
        <v>20</v>
      </c>
    </row>
    <row r="126" ht="13.5" customHeight="1">
      <c r="A126" s="1">
        <v>27775.0</v>
      </c>
      <c r="B126" s="10" t="s">
        <v>51</v>
      </c>
      <c r="C126" s="10" t="s">
        <v>49</v>
      </c>
      <c r="D126" s="1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tr">
        <f t="shared" si="1"/>
        <v>Middle Aged (31-54)</v>
      </c>
      <c r="N126" s="1" t="s">
        <v>17</v>
      </c>
    </row>
    <row r="127" ht="13.5" customHeight="1">
      <c r="A127" s="1">
        <v>29301.0</v>
      </c>
      <c r="B127" s="10" t="s">
        <v>48</v>
      </c>
      <c r="C127" s="10" t="s">
        <v>50</v>
      </c>
      <c r="D127" s="1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tr">
        <f t="shared" si="1"/>
        <v>Middle Aged (31-54)</v>
      </c>
      <c r="N127" s="1" t="s">
        <v>20</v>
      </c>
    </row>
    <row r="128" ht="13.5" customHeight="1">
      <c r="A128" s="1">
        <v>12716.0</v>
      </c>
      <c r="B128" s="10" t="s">
        <v>51</v>
      </c>
      <c r="C128" s="10" t="s">
        <v>50</v>
      </c>
      <c r="D128" s="1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tr">
        <f t="shared" si="1"/>
        <v>Middle Aged (31-54)</v>
      </c>
      <c r="N128" s="1" t="s">
        <v>20</v>
      </c>
    </row>
    <row r="129" ht="13.5" customHeight="1">
      <c r="A129" s="1">
        <v>12472.0</v>
      </c>
      <c r="B129" s="10" t="s">
        <v>48</v>
      </c>
      <c r="C129" s="10" t="s">
        <v>50</v>
      </c>
      <c r="D129" s="1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tr">
        <f t="shared" si="1"/>
        <v>Middle Aged (31-54)</v>
      </c>
      <c r="N129" s="1" t="s">
        <v>20</v>
      </c>
    </row>
    <row r="130" ht="13.5" customHeight="1">
      <c r="A130" s="1">
        <v>20970.0</v>
      </c>
      <c r="B130" s="10" t="s">
        <v>51</v>
      </c>
      <c r="C130" s="10" t="s">
        <v>50</v>
      </c>
      <c r="D130" s="1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tr">
        <f t="shared" si="1"/>
        <v>Middle Aged (31-54)</v>
      </c>
      <c r="N130" s="1" t="s">
        <v>17</v>
      </c>
    </row>
    <row r="131" ht="13.5" customHeight="1">
      <c r="A131" s="1">
        <v>26818.0</v>
      </c>
      <c r="B131" s="10" t="s">
        <v>51</v>
      </c>
      <c r="C131" s="10" t="s">
        <v>50</v>
      </c>
      <c r="D131" s="1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tr">
        <f t="shared" si="1"/>
        <v>Middle Aged (31-54)</v>
      </c>
      <c r="N131" s="1" t="s">
        <v>17</v>
      </c>
    </row>
    <row r="132" ht="13.5" customHeight="1">
      <c r="A132" s="1">
        <v>12993.0</v>
      </c>
      <c r="B132" s="10" t="s">
        <v>48</v>
      </c>
      <c r="C132" s="10" t="s">
        <v>50</v>
      </c>
      <c r="D132" s="1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tr">
        <f t="shared" si="1"/>
        <v>Middle Aged (31-54)</v>
      </c>
      <c r="N132" s="1" t="s">
        <v>20</v>
      </c>
    </row>
    <row r="133" ht="13.5" customHeight="1">
      <c r="A133" s="1">
        <v>14192.0</v>
      </c>
      <c r="B133" s="10" t="s">
        <v>48</v>
      </c>
      <c r="C133" s="10" t="s">
        <v>50</v>
      </c>
      <c r="D133" s="1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tr">
        <f t="shared" si="1"/>
        <v>Old (54+)</v>
      </c>
      <c r="N133" s="1" t="s">
        <v>17</v>
      </c>
    </row>
    <row r="134" ht="13.5" customHeight="1">
      <c r="A134" s="1">
        <v>19477.0</v>
      </c>
      <c r="B134" s="10" t="s">
        <v>48</v>
      </c>
      <c r="C134" s="10" t="s">
        <v>50</v>
      </c>
      <c r="D134" s="1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tr">
        <f t="shared" si="1"/>
        <v>Middle Aged (31-54)</v>
      </c>
      <c r="N134" s="1" t="s">
        <v>17</v>
      </c>
    </row>
    <row r="135" ht="13.5" customHeight="1">
      <c r="A135" s="1">
        <v>26796.0</v>
      </c>
      <c r="B135" s="10" t="s">
        <v>51</v>
      </c>
      <c r="C135" s="10" t="s">
        <v>50</v>
      </c>
      <c r="D135" s="1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tr">
        <f t="shared" si="1"/>
        <v>Old (54+)</v>
      </c>
      <c r="N135" s="1" t="s">
        <v>17</v>
      </c>
    </row>
    <row r="136" ht="13.5" customHeight="1">
      <c r="A136" s="1">
        <v>21094.0</v>
      </c>
      <c r="B136" s="10" t="s">
        <v>51</v>
      </c>
      <c r="C136" s="10" t="s">
        <v>49</v>
      </c>
      <c r="D136" s="1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tr">
        <f t="shared" si="1"/>
        <v>Middle Aged (31-54)</v>
      </c>
      <c r="N136" s="1" t="s">
        <v>20</v>
      </c>
    </row>
    <row r="137" ht="13.5" customHeight="1">
      <c r="A137" s="1">
        <v>12234.0</v>
      </c>
      <c r="B137" s="10" t="s">
        <v>48</v>
      </c>
      <c r="C137" s="10" t="s">
        <v>50</v>
      </c>
      <c r="D137" s="1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tr">
        <f t="shared" si="1"/>
        <v>Middle Aged (31-54)</v>
      </c>
      <c r="N137" s="1" t="s">
        <v>20</v>
      </c>
    </row>
    <row r="138" ht="13.5" customHeight="1">
      <c r="A138" s="1">
        <v>28683.0</v>
      </c>
      <c r="B138" s="10" t="s">
        <v>51</v>
      </c>
      <c r="C138" s="10" t="s">
        <v>49</v>
      </c>
      <c r="D138" s="1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tr">
        <f t="shared" si="1"/>
        <v>Middle Aged (31-54)</v>
      </c>
      <c r="N138" s="1" t="s">
        <v>17</v>
      </c>
    </row>
    <row r="139" ht="13.5" customHeight="1">
      <c r="A139" s="1">
        <v>17994.0</v>
      </c>
      <c r="B139" s="10" t="s">
        <v>51</v>
      </c>
      <c r="C139" s="10" t="s">
        <v>50</v>
      </c>
      <c r="D139" s="1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tr">
        <f t="shared" si="1"/>
        <v>Middle Aged (31-54)</v>
      </c>
      <c r="N139" s="1" t="s">
        <v>20</v>
      </c>
    </row>
    <row r="140" ht="13.5" customHeight="1">
      <c r="A140" s="1">
        <v>24273.0</v>
      </c>
      <c r="B140" s="10" t="s">
        <v>48</v>
      </c>
      <c r="C140" s="10" t="s">
        <v>49</v>
      </c>
      <c r="D140" s="1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tr">
        <f t="shared" si="1"/>
        <v>Old (54+)</v>
      </c>
      <c r="N140" s="1" t="s">
        <v>17</v>
      </c>
    </row>
    <row r="141" ht="13.5" customHeight="1">
      <c r="A141" s="1">
        <v>26547.0</v>
      </c>
      <c r="B141" s="10" t="s">
        <v>51</v>
      </c>
      <c r="C141" s="10" t="s">
        <v>49</v>
      </c>
      <c r="D141" s="1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tr">
        <f t="shared" si="1"/>
        <v>Old (54+)</v>
      </c>
      <c r="N141" s="1" t="s">
        <v>17</v>
      </c>
    </row>
    <row r="142" ht="13.5" customHeight="1">
      <c r="A142" s="1">
        <v>22500.0</v>
      </c>
      <c r="B142" s="10" t="s">
        <v>51</v>
      </c>
      <c r="C142" s="10" t="s">
        <v>50</v>
      </c>
      <c r="D142" s="1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tr">
        <f t="shared" si="1"/>
        <v>Middle Aged (31-54)</v>
      </c>
      <c r="N142" s="1" t="s">
        <v>17</v>
      </c>
    </row>
    <row r="143" ht="13.5" customHeight="1">
      <c r="A143" s="1">
        <v>23993.0</v>
      </c>
      <c r="B143" s="10" t="s">
        <v>51</v>
      </c>
      <c r="C143" s="10" t="s">
        <v>49</v>
      </c>
      <c r="D143" s="1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tr">
        <f t="shared" si="1"/>
        <v>Adolescent (0-30)</v>
      </c>
      <c r="N143" s="1" t="s">
        <v>17</v>
      </c>
    </row>
    <row r="144" ht="13.5" customHeight="1">
      <c r="A144" s="1">
        <v>14832.0</v>
      </c>
      <c r="B144" s="10" t="s">
        <v>48</v>
      </c>
      <c r="C144" s="10" t="s">
        <v>50</v>
      </c>
      <c r="D144" s="1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tr">
        <f t="shared" si="1"/>
        <v>Middle Aged (31-54)</v>
      </c>
      <c r="N144" s="1" t="s">
        <v>17</v>
      </c>
    </row>
    <row r="145" ht="13.5" customHeight="1">
      <c r="A145" s="1">
        <v>16614.0</v>
      </c>
      <c r="B145" s="10" t="s">
        <v>48</v>
      </c>
      <c r="C145" s="10" t="s">
        <v>49</v>
      </c>
      <c r="D145" s="1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0" t="s">
        <v>52</v>
      </c>
      <c r="K145" s="1" t="s">
        <v>27</v>
      </c>
      <c r="L145" s="1">
        <v>32.0</v>
      </c>
      <c r="M145" s="1" t="str">
        <f t="shared" si="1"/>
        <v>Middle Aged (31-54)</v>
      </c>
      <c r="N145" s="1" t="s">
        <v>20</v>
      </c>
    </row>
    <row r="146" ht="13.5" customHeight="1">
      <c r="A146" s="1">
        <v>20877.0</v>
      </c>
      <c r="B146" s="10" t="s">
        <v>51</v>
      </c>
      <c r="C146" s="10" t="s">
        <v>50</v>
      </c>
      <c r="D146" s="1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tr">
        <f t="shared" si="1"/>
        <v>Middle Aged (31-54)</v>
      </c>
      <c r="N146" s="1" t="s">
        <v>17</v>
      </c>
    </row>
    <row r="147" ht="13.5" customHeight="1">
      <c r="A147" s="1">
        <v>20729.0</v>
      </c>
      <c r="B147" s="10" t="s">
        <v>48</v>
      </c>
      <c r="C147" s="10" t="s">
        <v>49</v>
      </c>
      <c r="D147" s="1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tr">
        <f t="shared" si="1"/>
        <v>Middle Aged (31-54)</v>
      </c>
      <c r="N147" s="1" t="s">
        <v>20</v>
      </c>
    </row>
    <row r="148" ht="13.5" customHeight="1">
      <c r="A148" s="1">
        <v>22464.0</v>
      </c>
      <c r="B148" s="10" t="s">
        <v>48</v>
      </c>
      <c r="C148" s="10" t="s">
        <v>50</v>
      </c>
      <c r="D148" s="1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tr">
        <f t="shared" si="1"/>
        <v>Middle Aged (31-54)</v>
      </c>
      <c r="N148" s="1" t="s">
        <v>17</v>
      </c>
    </row>
    <row r="149" ht="13.5" customHeight="1">
      <c r="A149" s="1">
        <v>19475.0</v>
      </c>
      <c r="B149" s="10" t="s">
        <v>48</v>
      </c>
      <c r="C149" s="10" t="s">
        <v>49</v>
      </c>
      <c r="D149" s="1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tr">
        <f t="shared" si="1"/>
        <v>Middle Aged (31-54)</v>
      </c>
      <c r="N149" s="1" t="s">
        <v>17</v>
      </c>
    </row>
    <row r="150" ht="13.5" customHeight="1">
      <c r="A150" s="1">
        <v>19675.0</v>
      </c>
      <c r="B150" s="10" t="s">
        <v>48</v>
      </c>
      <c r="C150" s="10" t="s">
        <v>50</v>
      </c>
      <c r="D150" s="1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tr">
        <f t="shared" si="1"/>
        <v>Old (54+)</v>
      </c>
      <c r="N150" s="1" t="s">
        <v>20</v>
      </c>
    </row>
    <row r="151" ht="13.5" customHeight="1">
      <c r="A151" s="1">
        <v>12728.0</v>
      </c>
      <c r="B151" s="10" t="s">
        <v>51</v>
      </c>
      <c r="C151" s="10" t="s">
        <v>50</v>
      </c>
      <c r="D151" s="1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tr">
        <f t="shared" si="1"/>
        <v>Adolescent (0-30)</v>
      </c>
      <c r="N151" s="1" t="s">
        <v>20</v>
      </c>
    </row>
    <row r="152" ht="13.5" customHeight="1">
      <c r="A152" s="1">
        <v>26154.0</v>
      </c>
      <c r="B152" s="10" t="s">
        <v>48</v>
      </c>
      <c r="C152" s="10" t="s">
        <v>50</v>
      </c>
      <c r="D152" s="1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tr">
        <f t="shared" si="1"/>
        <v>Middle Aged (31-54)</v>
      </c>
      <c r="N152" s="1" t="s">
        <v>17</v>
      </c>
    </row>
    <row r="153" ht="13.5" customHeight="1">
      <c r="A153" s="1">
        <v>29117.0</v>
      </c>
      <c r="B153" s="10" t="s">
        <v>51</v>
      </c>
      <c r="C153" s="10" t="s">
        <v>50</v>
      </c>
      <c r="D153" s="1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tr">
        <f t="shared" si="1"/>
        <v>Middle Aged (31-54)</v>
      </c>
      <c r="N153" s="1" t="s">
        <v>20</v>
      </c>
    </row>
    <row r="154" ht="13.5" customHeight="1">
      <c r="A154" s="1">
        <v>17845.0</v>
      </c>
      <c r="B154" s="10" t="s">
        <v>51</v>
      </c>
      <c r="C154" s="10" t="s">
        <v>49</v>
      </c>
      <c r="D154" s="1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tr">
        <f t="shared" si="1"/>
        <v>Middle Aged (31-54)</v>
      </c>
      <c r="N154" s="1" t="s">
        <v>20</v>
      </c>
    </row>
    <row r="155" ht="13.5" customHeight="1">
      <c r="A155" s="1">
        <v>25058.0</v>
      </c>
      <c r="B155" s="10" t="s">
        <v>48</v>
      </c>
      <c r="C155" s="10" t="s">
        <v>50</v>
      </c>
      <c r="D155" s="1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tr">
        <f t="shared" si="1"/>
        <v>Middle Aged (31-54)</v>
      </c>
      <c r="N155" s="1" t="s">
        <v>20</v>
      </c>
    </row>
    <row r="156" ht="13.5" customHeight="1">
      <c r="A156" s="1">
        <v>23426.0</v>
      </c>
      <c r="B156" s="10" t="s">
        <v>51</v>
      </c>
      <c r="C156" s="10" t="s">
        <v>50</v>
      </c>
      <c r="D156" s="1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tr">
        <f t="shared" si="1"/>
        <v>Middle Aged (31-54)</v>
      </c>
      <c r="N156" s="1" t="s">
        <v>20</v>
      </c>
    </row>
    <row r="157" ht="13.5" customHeight="1">
      <c r="A157" s="1">
        <v>14798.0</v>
      </c>
      <c r="B157" s="10" t="s">
        <v>51</v>
      </c>
      <c r="C157" s="10" t="s">
        <v>49</v>
      </c>
      <c r="D157" s="1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tr">
        <f t="shared" si="1"/>
        <v>Middle Aged (31-54)</v>
      </c>
      <c r="N157" s="1" t="s">
        <v>17</v>
      </c>
    </row>
    <row r="158" ht="13.5" customHeight="1">
      <c r="A158" s="1">
        <v>12664.0</v>
      </c>
      <c r="B158" s="10" t="s">
        <v>48</v>
      </c>
      <c r="C158" s="10" t="s">
        <v>49</v>
      </c>
      <c r="D158" s="1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tr">
        <f t="shared" si="1"/>
        <v>Old (54+)</v>
      </c>
      <c r="N158" s="1" t="s">
        <v>20</v>
      </c>
    </row>
    <row r="159" ht="13.5" customHeight="1">
      <c r="A159" s="1">
        <v>23979.0</v>
      </c>
      <c r="B159" s="10" t="s">
        <v>51</v>
      </c>
      <c r="C159" s="10" t="s">
        <v>50</v>
      </c>
      <c r="D159" s="1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tr">
        <f t="shared" si="1"/>
        <v>Middle Aged (31-54)</v>
      </c>
      <c r="N159" s="1" t="s">
        <v>20</v>
      </c>
    </row>
    <row r="160" ht="13.5" customHeight="1">
      <c r="A160" s="1">
        <v>25605.0</v>
      </c>
      <c r="B160" s="10" t="s">
        <v>51</v>
      </c>
      <c r="C160" s="10" t="s">
        <v>49</v>
      </c>
      <c r="D160" s="1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tr">
        <f t="shared" si="1"/>
        <v>Middle Aged (31-54)</v>
      </c>
      <c r="N160" s="1" t="s">
        <v>17</v>
      </c>
    </row>
    <row r="161" ht="13.5" customHeight="1">
      <c r="A161" s="1">
        <v>20797.0</v>
      </c>
      <c r="B161" s="10" t="s">
        <v>48</v>
      </c>
      <c r="C161" s="10" t="s">
        <v>49</v>
      </c>
      <c r="D161" s="1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tr">
        <f t="shared" si="1"/>
        <v>Middle Aged (31-54)</v>
      </c>
      <c r="N161" s="1" t="s">
        <v>20</v>
      </c>
    </row>
    <row r="162" ht="13.5" customHeight="1">
      <c r="A162" s="1">
        <v>21980.0</v>
      </c>
      <c r="B162" s="10" t="s">
        <v>51</v>
      </c>
      <c r="C162" s="10" t="s">
        <v>49</v>
      </c>
      <c r="D162" s="1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tr">
        <f t="shared" si="1"/>
        <v>Middle Aged (31-54)</v>
      </c>
      <c r="N162" s="1" t="s">
        <v>17</v>
      </c>
    </row>
    <row r="163" ht="13.5" customHeight="1">
      <c r="A163" s="1">
        <v>25460.0</v>
      </c>
      <c r="B163" s="10" t="s">
        <v>48</v>
      </c>
      <c r="C163" s="10" t="s">
        <v>49</v>
      </c>
      <c r="D163" s="1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tr">
        <f t="shared" si="1"/>
        <v>Middle Aged (31-54)</v>
      </c>
      <c r="N163" s="1" t="s">
        <v>17</v>
      </c>
    </row>
    <row r="164" ht="13.5" customHeight="1">
      <c r="A164" s="1">
        <v>29181.0</v>
      </c>
      <c r="B164" s="10" t="s">
        <v>51</v>
      </c>
      <c r="C164" s="10" t="s">
        <v>49</v>
      </c>
      <c r="D164" s="1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tr">
        <f t="shared" si="1"/>
        <v>Middle Aged (31-54)</v>
      </c>
      <c r="N164" s="1" t="s">
        <v>17</v>
      </c>
    </row>
    <row r="165" ht="13.5" customHeight="1">
      <c r="A165" s="1">
        <v>24279.0</v>
      </c>
      <c r="B165" s="10" t="s">
        <v>51</v>
      </c>
      <c r="C165" s="10" t="s">
        <v>50</v>
      </c>
      <c r="D165" s="1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tr">
        <f t="shared" si="1"/>
        <v>Middle Aged (31-54)</v>
      </c>
      <c r="N165" s="1" t="s">
        <v>20</v>
      </c>
    </row>
    <row r="166" ht="13.5" customHeight="1">
      <c r="A166" s="1">
        <v>22402.0</v>
      </c>
      <c r="B166" s="10" t="s">
        <v>48</v>
      </c>
      <c r="C166" s="10" t="s">
        <v>50</v>
      </c>
      <c r="D166" s="1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tr">
        <f t="shared" si="1"/>
        <v>Adolescent (0-30)</v>
      </c>
      <c r="N166" s="1" t="s">
        <v>17</v>
      </c>
    </row>
    <row r="167" ht="13.5" customHeight="1">
      <c r="A167" s="1">
        <v>15465.0</v>
      </c>
      <c r="B167" s="10" t="s">
        <v>48</v>
      </c>
      <c r="C167" s="10" t="s">
        <v>49</v>
      </c>
      <c r="D167" s="1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tr">
        <f t="shared" si="1"/>
        <v>Adolescent (0-30)</v>
      </c>
      <c r="N167" s="1" t="s">
        <v>20</v>
      </c>
    </row>
    <row r="168" ht="13.5" customHeight="1">
      <c r="A168" s="1">
        <v>26757.0</v>
      </c>
      <c r="B168" s="10" t="s">
        <v>51</v>
      </c>
      <c r="C168" s="10" t="s">
        <v>50</v>
      </c>
      <c r="D168" s="1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tr">
        <f t="shared" si="1"/>
        <v>Middle Aged (31-54)</v>
      </c>
      <c r="N168" s="1" t="s">
        <v>17</v>
      </c>
    </row>
    <row r="169" ht="13.5" customHeight="1">
      <c r="A169" s="1">
        <v>14233.0</v>
      </c>
      <c r="B169" s="10" t="s">
        <v>51</v>
      </c>
      <c r="C169" s="10" t="s">
        <v>50</v>
      </c>
      <c r="D169" s="1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0" t="s">
        <v>52</v>
      </c>
      <c r="K169" s="1" t="s">
        <v>27</v>
      </c>
      <c r="L169" s="1">
        <v>35.0</v>
      </c>
      <c r="M169" s="1" t="str">
        <f t="shared" si="1"/>
        <v>Middle Aged (31-54)</v>
      </c>
      <c r="N169" s="1" t="s">
        <v>20</v>
      </c>
    </row>
    <row r="170" ht="13.5" customHeight="1">
      <c r="A170" s="1">
        <v>14058.0</v>
      </c>
      <c r="B170" s="10" t="s">
        <v>51</v>
      </c>
      <c r="C170" s="10" t="s">
        <v>50</v>
      </c>
      <c r="D170" s="1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tr">
        <f t="shared" si="1"/>
        <v>Middle Aged (31-54)</v>
      </c>
      <c r="N170" s="1" t="s">
        <v>17</v>
      </c>
    </row>
    <row r="171" ht="13.5" customHeight="1">
      <c r="A171" s="1">
        <v>12273.0</v>
      </c>
      <c r="B171" s="10" t="s">
        <v>48</v>
      </c>
      <c r="C171" s="10" t="s">
        <v>50</v>
      </c>
      <c r="D171" s="1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tr">
        <f t="shared" si="1"/>
        <v>Middle Aged (31-54)</v>
      </c>
      <c r="N171" s="1" t="s">
        <v>20</v>
      </c>
    </row>
    <row r="172" ht="13.5" customHeight="1">
      <c r="A172" s="1">
        <v>17203.0</v>
      </c>
      <c r="B172" s="10" t="s">
        <v>48</v>
      </c>
      <c r="C172" s="10" t="s">
        <v>49</v>
      </c>
      <c r="D172" s="1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tr">
        <f t="shared" si="1"/>
        <v>Old (54+)</v>
      </c>
      <c r="N172" s="1" t="s">
        <v>17</v>
      </c>
    </row>
    <row r="173" ht="13.5" customHeight="1">
      <c r="A173" s="1">
        <v>18144.0</v>
      </c>
      <c r="B173" s="10" t="s">
        <v>48</v>
      </c>
      <c r="C173" s="10" t="s">
        <v>49</v>
      </c>
      <c r="D173" s="1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tr">
        <f t="shared" si="1"/>
        <v>Old (54+)</v>
      </c>
      <c r="N173" s="1" t="s">
        <v>20</v>
      </c>
    </row>
    <row r="174" ht="13.5" customHeight="1">
      <c r="A174" s="1">
        <v>23963.0</v>
      </c>
      <c r="B174" s="10" t="s">
        <v>48</v>
      </c>
      <c r="C174" s="10" t="s">
        <v>50</v>
      </c>
      <c r="D174" s="1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tr">
        <f t="shared" si="1"/>
        <v>Middle Aged (31-54)</v>
      </c>
      <c r="N174" s="1" t="s">
        <v>20</v>
      </c>
    </row>
    <row r="175" ht="13.5" customHeight="1">
      <c r="A175" s="1">
        <v>17907.0</v>
      </c>
      <c r="B175" s="10" t="s">
        <v>48</v>
      </c>
      <c r="C175" s="10" t="s">
        <v>49</v>
      </c>
      <c r="D175" s="1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tr">
        <f t="shared" si="1"/>
        <v>Adolescent (0-30)</v>
      </c>
      <c r="N175" s="1" t="s">
        <v>20</v>
      </c>
    </row>
    <row r="176" ht="13.5" customHeight="1">
      <c r="A176" s="1">
        <v>19442.0</v>
      </c>
      <c r="B176" s="10" t="s">
        <v>51</v>
      </c>
      <c r="C176" s="10" t="s">
        <v>50</v>
      </c>
      <c r="D176" s="1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tr">
        <f t="shared" si="1"/>
        <v>Middle Aged (31-54)</v>
      </c>
      <c r="N176" s="1" t="s">
        <v>17</v>
      </c>
    </row>
    <row r="177" ht="13.5" customHeight="1">
      <c r="A177" s="1">
        <v>17504.0</v>
      </c>
      <c r="B177" s="10" t="s">
        <v>51</v>
      </c>
      <c r="C177" s="10" t="s">
        <v>49</v>
      </c>
      <c r="D177" s="1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tr">
        <f t="shared" si="1"/>
        <v>Middle Aged (31-54)</v>
      </c>
      <c r="N177" s="1" t="s">
        <v>17</v>
      </c>
    </row>
    <row r="178" ht="13.5" customHeight="1">
      <c r="A178" s="1">
        <v>12253.0</v>
      </c>
      <c r="B178" s="10" t="s">
        <v>51</v>
      </c>
      <c r="C178" s="10" t="s">
        <v>49</v>
      </c>
      <c r="D178" s="1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tr">
        <f t="shared" si="1"/>
        <v>Adolescent (0-30)</v>
      </c>
      <c r="N178" s="1" t="s">
        <v>17</v>
      </c>
    </row>
    <row r="179" ht="13.5" customHeight="1">
      <c r="A179" s="1">
        <v>27304.0</v>
      </c>
      <c r="B179" s="10" t="s">
        <v>51</v>
      </c>
      <c r="C179" s="10" t="s">
        <v>49</v>
      </c>
      <c r="D179" s="1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tr">
        <f t="shared" si="1"/>
        <v>Middle Aged (31-54)</v>
      </c>
      <c r="N179" s="1" t="s">
        <v>20</v>
      </c>
    </row>
    <row r="180" ht="13.5" customHeight="1">
      <c r="A180" s="1">
        <v>14191.0</v>
      </c>
      <c r="B180" s="10" t="s">
        <v>48</v>
      </c>
      <c r="C180" s="10" t="s">
        <v>50</v>
      </c>
      <c r="D180" s="1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0" t="s">
        <v>52</v>
      </c>
      <c r="K180" s="1" t="s">
        <v>19</v>
      </c>
      <c r="L180" s="1">
        <v>55.0</v>
      </c>
      <c r="M180" s="1" t="str">
        <f t="shared" si="1"/>
        <v>Old (54+)</v>
      </c>
      <c r="N180" s="1" t="s">
        <v>17</v>
      </c>
    </row>
    <row r="181" ht="13.5" customHeight="1">
      <c r="A181" s="1">
        <v>12212.0</v>
      </c>
      <c r="B181" s="10" t="s">
        <v>48</v>
      </c>
      <c r="C181" s="10" t="s">
        <v>49</v>
      </c>
      <c r="D181" s="1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tr">
        <f t="shared" si="1"/>
        <v>Middle Aged (31-54)</v>
      </c>
      <c r="N181" s="1" t="s">
        <v>17</v>
      </c>
    </row>
    <row r="182" ht="13.5" customHeight="1">
      <c r="A182" s="1">
        <v>25529.0</v>
      </c>
      <c r="B182" s="10" t="s">
        <v>51</v>
      </c>
      <c r="C182" s="10" t="s">
        <v>50</v>
      </c>
      <c r="D182" s="1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tr">
        <f t="shared" si="1"/>
        <v>Middle Aged (31-54)</v>
      </c>
      <c r="N182" s="1" t="s">
        <v>20</v>
      </c>
    </row>
    <row r="183" ht="13.5" customHeight="1">
      <c r="A183" s="1">
        <v>22170.0</v>
      </c>
      <c r="B183" s="10" t="s">
        <v>48</v>
      </c>
      <c r="C183" s="10" t="s">
        <v>49</v>
      </c>
      <c r="D183" s="1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tr">
        <f t="shared" si="1"/>
        <v>Old (54+)</v>
      </c>
      <c r="N183" s="1" t="s">
        <v>17</v>
      </c>
    </row>
    <row r="184" ht="13.5" customHeight="1">
      <c r="A184" s="1">
        <v>19445.0</v>
      </c>
      <c r="B184" s="10" t="s">
        <v>48</v>
      </c>
      <c r="C184" s="10" t="s">
        <v>49</v>
      </c>
      <c r="D184" s="1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tr">
        <f t="shared" si="1"/>
        <v>Middle Aged (31-54)</v>
      </c>
      <c r="N184" s="1" t="s">
        <v>20</v>
      </c>
    </row>
    <row r="185" ht="13.5" customHeight="1">
      <c r="A185" s="1">
        <v>15265.0</v>
      </c>
      <c r="B185" s="10" t="s">
        <v>51</v>
      </c>
      <c r="C185" s="10" t="s">
        <v>50</v>
      </c>
      <c r="D185" s="1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tr">
        <f t="shared" si="1"/>
        <v>Old (54+)</v>
      </c>
      <c r="N185" s="1" t="s">
        <v>17</v>
      </c>
    </row>
    <row r="186" ht="13.5" customHeight="1">
      <c r="A186" s="1">
        <v>28918.0</v>
      </c>
      <c r="B186" s="10" t="s">
        <v>48</v>
      </c>
      <c r="C186" s="10" t="s">
        <v>49</v>
      </c>
      <c r="D186" s="1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0" t="s">
        <v>52</v>
      </c>
      <c r="K186" s="1" t="s">
        <v>19</v>
      </c>
      <c r="L186" s="1">
        <v>58.0</v>
      </c>
      <c r="M186" s="1" t="str">
        <f t="shared" si="1"/>
        <v>Old (54+)</v>
      </c>
      <c r="N186" s="1" t="s">
        <v>20</v>
      </c>
    </row>
    <row r="187" ht="13.5" customHeight="1">
      <c r="A187" s="1">
        <v>15799.0</v>
      </c>
      <c r="B187" s="10" t="s">
        <v>48</v>
      </c>
      <c r="C187" s="10" t="s">
        <v>49</v>
      </c>
      <c r="D187" s="1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tr">
        <f t="shared" si="1"/>
        <v>Middle Aged (31-54)</v>
      </c>
      <c r="N187" s="1" t="s">
        <v>17</v>
      </c>
    </row>
    <row r="188" ht="13.5" customHeight="1">
      <c r="A188" s="1">
        <v>11047.0</v>
      </c>
      <c r="B188" s="10" t="s">
        <v>48</v>
      </c>
      <c r="C188" s="10" t="s">
        <v>49</v>
      </c>
      <c r="D188" s="1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tr">
        <f t="shared" si="1"/>
        <v>Old (54+)</v>
      </c>
      <c r="N188" s="1" t="s">
        <v>17</v>
      </c>
    </row>
    <row r="189" ht="13.5" customHeight="1">
      <c r="A189" s="1">
        <v>18151.0</v>
      </c>
      <c r="B189" s="10" t="s">
        <v>51</v>
      </c>
      <c r="C189" s="10" t="s">
        <v>50</v>
      </c>
      <c r="D189" s="1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0" t="s">
        <v>52</v>
      </c>
      <c r="K189" s="1" t="s">
        <v>19</v>
      </c>
      <c r="L189" s="1">
        <v>59.0</v>
      </c>
      <c r="M189" s="1" t="str">
        <f t="shared" si="1"/>
        <v>Old (54+)</v>
      </c>
      <c r="N189" s="1" t="s">
        <v>20</v>
      </c>
    </row>
    <row r="190" ht="13.5" customHeight="1">
      <c r="A190" s="1">
        <v>20606.0</v>
      </c>
      <c r="B190" s="10" t="s">
        <v>48</v>
      </c>
      <c r="C190" s="10" t="s">
        <v>49</v>
      </c>
      <c r="D190" s="1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0" t="s">
        <v>52</v>
      </c>
      <c r="K190" s="1" t="s">
        <v>27</v>
      </c>
      <c r="L190" s="1">
        <v>32.0</v>
      </c>
      <c r="M190" s="1" t="str">
        <f t="shared" si="1"/>
        <v>Middle Aged (31-54)</v>
      </c>
      <c r="N190" s="1" t="s">
        <v>17</v>
      </c>
    </row>
    <row r="191" ht="13.5" customHeight="1">
      <c r="A191" s="1">
        <v>19482.0</v>
      </c>
      <c r="B191" s="10" t="s">
        <v>48</v>
      </c>
      <c r="C191" s="10" t="s">
        <v>50</v>
      </c>
      <c r="D191" s="1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tr">
        <f t="shared" si="1"/>
        <v>Middle Aged (31-54)</v>
      </c>
      <c r="N191" s="1" t="s">
        <v>17</v>
      </c>
    </row>
    <row r="192" ht="13.5" customHeight="1">
      <c r="A192" s="1">
        <v>16489.0</v>
      </c>
      <c r="B192" s="10" t="s">
        <v>48</v>
      </c>
      <c r="C192" s="10" t="s">
        <v>50</v>
      </c>
      <c r="D192" s="1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tr">
        <f t="shared" si="1"/>
        <v>Old (54+)</v>
      </c>
      <c r="N192" s="1" t="s">
        <v>20</v>
      </c>
    </row>
    <row r="193" ht="13.5" customHeight="1">
      <c r="A193" s="1">
        <v>26944.0</v>
      </c>
      <c r="B193" s="10" t="s">
        <v>51</v>
      </c>
      <c r="C193" s="10" t="s">
        <v>50</v>
      </c>
      <c r="D193" s="1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tr">
        <f t="shared" si="1"/>
        <v>Middle Aged (31-54)</v>
      </c>
      <c r="N193" s="1" t="s">
        <v>17</v>
      </c>
    </row>
    <row r="194" ht="13.5" customHeight="1">
      <c r="A194" s="1">
        <v>15682.0</v>
      </c>
      <c r="B194" s="10" t="s">
        <v>51</v>
      </c>
      <c r="C194" s="10" t="s">
        <v>49</v>
      </c>
      <c r="D194" s="1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0" t="s">
        <v>52</v>
      </c>
      <c r="K194" s="1" t="s">
        <v>19</v>
      </c>
      <c r="L194" s="1">
        <v>62.0</v>
      </c>
      <c r="M194" s="1" t="str">
        <f t="shared" si="1"/>
        <v>Old (54+)</v>
      </c>
      <c r="N194" s="1" t="s">
        <v>20</v>
      </c>
    </row>
    <row r="195" ht="13.5" customHeight="1">
      <c r="A195" s="1">
        <v>26032.0</v>
      </c>
      <c r="B195" s="10" t="s">
        <v>48</v>
      </c>
      <c r="C195" s="10" t="s">
        <v>49</v>
      </c>
      <c r="D195" s="1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0" t="s">
        <v>52</v>
      </c>
      <c r="K195" s="1" t="s">
        <v>27</v>
      </c>
      <c r="L195" s="1">
        <v>41.0</v>
      </c>
      <c r="M195" s="1" t="str">
        <f t="shared" si="1"/>
        <v>Middle Aged (31-54)</v>
      </c>
      <c r="N195" s="1" t="s">
        <v>20</v>
      </c>
    </row>
    <row r="196" ht="13.5" customHeight="1">
      <c r="A196" s="1">
        <v>17843.0</v>
      </c>
      <c r="B196" s="10" t="s">
        <v>51</v>
      </c>
      <c r="C196" s="10" t="s">
        <v>49</v>
      </c>
      <c r="D196" s="1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tr">
        <f t="shared" si="1"/>
        <v>Middle Aged (31-54)</v>
      </c>
      <c r="N196" s="1" t="s">
        <v>20</v>
      </c>
    </row>
    <row r="197" ht="13.5" customHeight="1">
      <c r="A197" s="1">
        <v>25559.0</v>
      </c>
      <c r="B197" s="10" t="s">
        <v>51</v>
      </c>
      <c r="C197" s="10" t="s">
        <v>50</v>
      </c>
      <c r="D197" s="1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tr">
        <f t="shared" si="1"/>
        <v>Adolescent (0-30)</v>
      </c>
      <c r="N197" s="1" t="s">
        <v>17</v>
      </c>
    </row>
    <row r="198" ht="13.5" customHeight="1">
      <c r="A198" s="1">
        <v>16209.0</v>
      </c>
      <c r="B198" s="10" t="s">
        <v>51</v>
      </c>
      <c r="C198" s="10" t="s">
        <v>49</v>
      </c>
      <c r="D198" s="1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tr">
        <f t="shared" si="1"/>
        <v>Middle Aged (31-54)</v>
      </c>
      <c r="N198" s="1" t="s">
        <v>20</v>
      </c>
    </row>
    <row r="199" ht="13.5" customHeight="1">
      <c r="A199" s="1">
        <v>11147.0</v>
      </c>
      <c r="B199" s="10" t="s">
        <v>48</v>
      </c>
      <c r="C199" s="10" t="s">
        <v>50</v>
      </c>
      <c r="D199" s="1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tr">
        <f t="shared" si="1"/>
        <v>Old (54+)</v>
      </c>
      <c r="N199" s="1" t="s">
        <v>17</v>
      </c>
    </row>
    <row r="200" ht="13.5" customHeight="1">
      <c r="A200" s="1">
        <v>15214.0</v>
      </c>
      <c r="B200" s="10" t="s">
        <v>51</v>
      </c>
      <c r="C200" s="10" t="s">
        <v>49</v>
      </c>
      <c r="D200" s="1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tr">
        <f t="shared" si="1"/>
        <v>Middle Aged (31-54)</v>
      </c>
      <c r="N200" s="1" t="s">
        <v>17</v>
      </c>
    </row>
    <row r="201" ht="13.5" customHeight="1">
      <c r="A201" s="1">
        <v>11453.0</v>
      </c>
      <c r="B201" s="10" t="s">
        <v>51</v>
      </c>
      <c r="C201" s="10" t="s">
        <v>50</v>
      </c>
      <c r="D201" s="1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0" t="s">
        <v>52</v>
      </c>
      <c r="K201" s="1" t="s">
        <v>27</v>
      </c>
      <c r="L201" s="1">
        <v>33.0</v>
      </c>
      <c r="M201" s="1" t="str">
        <f t="shared" si="1"/>
        <v>Middle Aged (31-54)</v>
      </c>
      <c r="N201" s="1" t="s">
        <v>17</v>
      </c>
    </row>
    <row r="202" ht="13.5" customHeight="1">
      <c r="A202" s="1">
        <v>24584.0</v>
      </c>
      <c r="B202" s="10" t="s">
        <v>51</v>
      </c>
      <c r="C202" s="10" t="s">
        <v>50</v>
      </c>
      <c r="D202" s="1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tr">
        <f t="shared" si="1"/>
        <v>Middle Aged (31-54)</v>
      </c>
      <c r="N202" s="1" t="s">
        <v>20</v>
      </c>
    </row>
    <row r="203" ht="13.5" customHeight="1">
      <c r="A203" s="1">
        <v>12585.0</v>
      </c>
      <c r="B203" s="10" t="s">
        <v>48</v>
      </c>
      <c r="C203" s="10" t="s">
        <v>50</v>
      </c>
      <c r="D203" s="1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tr">
        <f t="shared" si="1"/>
        <v>Adolescent (0-30)</v>
      </c>
      <c r="N203" s="1" t="s">
        <v>17</v>
      </c>
    </row>
    <row r="204" ht="13.5" customHeight="1">
      <c r="A204" s="1">
        <v>18626.0</v>
      </c>
      <c r="B204" s="10" t="s">
        <v>51</v>
      </c>
      <c r="C204" s="10" t="s">
        <v>50</v>
      </c>
      <c r="D204" s="1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tr">
        <f t="shared" si="1"/>
        <v>Middle Aged (31-54)</v>
      </c>
      <c r="N204" s="1" t="s">
        <v>17</v>
      </c>
    </row>
    <row r="205" ht="13.5" customHeight="1">
      <c r="A205" s="1">
        <v>29298.0</v>
      </c>
      <c r="B205" s="10" t="s">
        <v>51</v>
      </c>
      <c r="C205" s="10" t="s">
        <v>49</v>
      </c>
      <c r="D205" s="1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tr">
        <f t="shared" si="1"/>
        <v>Middle Aged (31-54)</v>
      </c>
      <c r="N205" s="1" t="s">
        <v>17</v>
      </c>
    </row>
    <row r="206" ht="13.5" customHeight="1">
      <c r="A206" s="1">
        <v>24842.0</v>
      </c>
      <c r="B206" s="10" t="s">
        <v>51</v>
      </c>
      <c r="C206" s="10" t="s">
        <v>49</v>
      </c>
      <c r="D206" s="1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tr">
        <f t="shared" si="1"/>
        <v>Middle Aged (31-54)</v>
      </c>
      <c r="N206" s="1" t="s">
        <v>20</v>
      </c>
    </row>
    <row r="207" ht="13.5" customHeight="1">
      <c r="A207" s="1">
        <v>15657.0</v>
      </c>
      <c r="B207" s="10" t="s">
        <v>48</v>
      </c>
      <c r="C207" s="10" t="s">
        <v>50</v>
      </c>
      <c r="D207" s="1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tr">
        <f t="shared" si="1"/>
        <v>Middle Aged (31-54)</v>
      </c>
      <c r="N207" s="1" t="s">
        <v>17</v>
      </c>
    </row>
    <row r="208" ht="13.5" customHeight="1">
      <c r="A208" s="1">
        <v>11415.0</v>
      </c>
      <c r="B208" s="10" t="s">
        <v>51</v>
      </c>
      <c r="C208" s="10" t="s">
        <v>50</v>
      </c>
      <c r="D208" s="1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0" t="s">
        <v>52</v>
      </c>
      <c r="K208" s="1" t="s">
        <v>19</v>
      </c>
      <c r="L208" s="1">
        <v>62.0</v>
      </c>
      <c r="M208" s="1" t="str">
        <f t="shared" si="1"/>
        <v>Old (54+)</v>
      </c>
      <c r="N208" s="1" t="s">
        <v>20</v>
      </c>
    </row>
    <row r="209" ht="13.5" customHeight="1">
      <c r="A209" s="1">
        <v>28729.0</v>
      </c>
      <c r="B209" s="10" t="s">
        <v>51</v>
      </c>
      <c r="C209" s="10" t="s">
        <v>49</v>
      </c>
      <c r="D209" s="1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tr">
        <f t="shared" si="1"/>
        <v>Adolescent (0-30)</v>
      </c>
      <c r="N209" s="1" t="s">
        <v>17</v>
      </c>
    </row>
    <row r="210" ht="13.5" customHeight="1">
      <c r="A210" s="1">
        <v>22633.0</v>
      </c>
      <c r="B210" s="10" t="s">
        <v>51</v>
      </c>
      <c r="C210" s="10" t="s">
        <v>49</v>
      </c>
      <c r="D210" s="1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tr">
        <f t="shared" si="1"/>
        <v>Middle Aged (31-54)</v>
      </c>
      <c r="N210" s="1" t="s">
        <v>17</v>
      </c>
    </row>
    <row r="211" ht="13.5" customHeight="1">
      <c r="A211" s="1">
        <v>25649.0</v>
      </c>
      <c r="B211" s="10" t="s">
        <v>51</v>
      </c>
      <c r="C211" s="10" t="s">
        <v>49</v>
      </c>
      <c r="D211" s="1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tr">
        <f t="shared" si="1"/>
        <v>Middle Aged (31-54)</v>
      </c>
      <c r="N211" s="1" t="s">
        <v>17</v>
      </c>
    </row>
    <row r="212" ht="13.5" customHeight="1">
      <c r="A212" s="1">
        <v>14669.0</v>
      </c>
      <c r="B212" s="10" t="s">
        <v>48</v>
      </c>
      <c r="C212" s="10" t="s">
        <v>49</v>
      </c>
      <c r="D212" s="1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tr">
        <f t="shared" si="1"/>
        <v>Middle Aged (31-54)</v>
      </c>
      <c r="N212" s="1" t="s">
        <v>20</v>
      </c>
    </row>
    <row r="213" ht="13.5" customHeight="1">
      <c r="A213" s="1">
        <v>19299.0</v>
      </c>
      <c r="B213" s="10" t="s">
        <v>48</v>
      </c>
      <c r="C213" s="10" t="s">
        <v>49</v>
      </c>
      <c r="D213" s="1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tr">
        <f t="shared" si="1"/>
        <v>Middle Aged (31-54)</v>
      </c>
      <c r="N213" s="1" t="s">
        <v>17</v>
      </c>
    </row>
    <row r="214" ht="13.5" customHeight="1">
      <c r="A214" s="1">
        <v>20946.0</v>
      </c>
      <c r="B214" s="10" t="s">
        <v>51</v>
      </c>
      <c r="C214" s="10" t="s">
        <v>49</v>
      </c>
      <c r="D214" s="1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tr">
        <f t="shared" si="1"/>
        <v>Adolescent (0-30)</v>
      </c>
      <c r="N214" s="1" t="s">
        <v>20</v>
      </c>
    </row>
    <row r="215" ht="13.5" customHeight="1">
      <c r="A215" s="1">
        <v>11451.0</v>
      </c>
      <c r="B215" s="10" t="s">
        <v>51</v>
      </c>
      <c r="C215" s="10" t="s">
        <v>50</v>
      </c>
      <c r="D215" s="1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0" t="s">
        <v>52</v>
      </c>
      <c r="K215" s="1" t="s">
        <v>27</v>
      </c>
      <c r="L215" s="1">
        <v>31.0</v>
      </c>
      <c r="M215" s="1" t="str">
        <f t="shared" si="1"/>
        <v>Middle Aged (31-54)</v>
      </c>
      <c r="N215" s="1" t="s">
        <v>17</v>
      </c>
    </row>
    <row r="216" ht="13.5" customHeight="1">
      <c r="A216" s="1">
        <v>25553.0</v>
      </c>
      <c r="B216" s="10" t="s">
        <v>48</v>
      </c>
      <c r="C216" s="10" t="s">
        <v>50</v>
      </c>
      <c r="D216" s="1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tr">
        <f t="shared" si="1"/>
        <v>Old (54+)</v>
      </c>
      <c r="N216" s="1" t="s">
        <v>17</v>
      </c>
    </row>
    <row r="217" ht="13.5" customHeight="1">
      <c r="A217" s="1">
        <v>27951.0</v>
      </c>
      <c r="B217" s="10" t="s">
        <v>51</v>
      </c>
      <c r="C217" s="10" t="s">
        <v>50</v>
      </c>
      <c r="D217" s="1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tr">
        <f t="shared" si="1"/>
        <v>Middle Aged (31-54)</v>
      </c>
      <c r="N217" s="1" t="s">
        <v>17</v>
      </c>
    </row>
    <row r="218" ht="13.5" customHeight="1">
      <c r="A218" s="1">
        <v>25026.0</v>
      </c>
      <c r="B218" s="10" t="s">
        <v>48</v>
      </c>
      <c r="C218" s="10" t="s">
        <v>50</v>
      </c>
      <c r="D218" s="1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tr">
        <f t="shared" si="1"/>
        <v>Middle Aged (31-54)</v>
      </c>
      <c r="N218" s="1" t="s">
        <v>20</v>
      </c>
    </row>
    <row r="219" ht="13.5" customHeight="1">
      <c r="A219" s="1">
        <v>13673.0</v>
      </c>
      <c r="B219" s="10" t="s">
        <v>51</v>
      </c>
      <c r="C219" s="10" t="s">
        <v>49</v>
      </c>
      <c r="D219" s="1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tr">
        <f t="shared" si="1"/>
        <v>Adolescent (0-30)</v>
      </c>
      <c r="N219" s="1" t="s">
        <v>20</v>
      </c>
    </row>
    <row r="220" ht="13.5" customHeight="1">
      <c r="A220" s="1">
        <v>16043.0</v>
      </c>
      <c r="B220" s="10" t="s">
        <v>51</v>
      </c>
      <c r="C220" s="10" t="s">
        <v>50</v>
      </c>
      <c r="D220" s="1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tr">
        <f t="shared" si="1"/>
        <v>Middle Aged (31-54)</v>
      </c>
      <c r="N220" s="1" t="s">
        <v>20</v>
      </c>
    </row>
    <row r="221" ht="13.5" customHeight="1">
      <c r="A221" s="1">
        <v>22399.0</v>
      </c>
      <c r="B221" s="10" t="s">
        <v>51</v>
      </c>
      <c r="C221" s="10" t="s">
        <v>50</v>
      </c>
      <c r="D221" s="1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tr">
        <f t="shared" si="1"/>
        <v>Adolescent (0-30)</v>
      </c>
      <c r="N221" s="1" t="s">
        <v>17</v>
      </c>
    </row>
    <row r="222" ht="13.5" customHeight="1">
      <c r="A222" s="1">
        <v>27696.0</v>
      </c>
      <c r="B222" s="10" t="s">
        <v>48</v>
      </c>
      <c r="C222" s="10" t="s">
        <v>50</v>
      </c>
      <c r="D222" s="1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tr">
        <f t="shared" si="1"/>
        <v>Middle Aged (31-54)</v>
      </c>
      <c r="N222" s="1" t="s">
        <v>17</v>
      </c>
    </row>
    <row r="223" ht="13.5" customHeight="1">
      <c r="A223" s="1">
        <v>25313.0</v>
      </c>
      <c r="B223" s="10" t="s">
        <v>51</v>
      </c>
      <c r="C223" s="10" t="s">
        <v>50</v>
      </c>
      <c r="D223" s="1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tr">
        <f t="shared" si="1"/>
        <v>Middle Aged (31-54)</v>
      </c>
      <c r="N223" s="1" t="s">
        <v>20</v>
      </c>
    </row>
    <row r="224" ht="13.5" customHeight="1">
      <c r="A224" s="1">
        <v>13813.0</v>
      </c>
      <c r="B224" s="10" t="s">
        <v>48</v>
      </c>
      <c r="C224" s="10" t="s">
        <v>49</v>
      </c>
      <c r="D224" s="1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tr">
        <f t="shared" si="1"/>
        <v>Middle Aged (31-54)</v>
      </c>
      <c r="N224" s="1" t="s">
        <v>20</v>
      </c>
    </row>
    <row r="225" ht="13.5" customHeight="1">
      <c r="A225" s="1">
        <v>18711.0</v>
      </c>
      <c r="B225" s="10" t="s">
        <v>51</v>
      </c>
      <c r="C225" s="10" t="s">
        <v>49</v>
      </c>
      <c r="D225" s="1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0" t="s">
        <v>52</v>
      </c>
      <c r="K225" s="1" t="s">
        <v>27</v>
      </c>
      <c r="L225" s="1">
        <v>39.0</v>
      </c>
      <c r="M225" s="1" t="str">
        <f t="shared" si="1"/>
        <v>Middle Aged (31-54)</v>
      </c>
      <c r="N225" s="1" t="s">
        <v>20</v>
      </c>
    </row>
    <row r="226" ht="13.5" customHeight="1">
      <c r="A226" s="1">
        <v>19650.0</v>
      </c>
      <c r="B226" s="10" t="s">
        <v>48</v>
      </c>
      <c r="C226" s="10" t="s">
        <v>49</v>
      </c>
      <c r="D226" s="1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tr">
        <f t="shared" si="1"/>
        <v>Old (54+)</v>
      </c>
      <c r="N226" s="1" t="s">
        <v>20</v>
      </c>
    </row>
    <row r="227" ht="13.5" customHeight="1">
      <c r="A227" s="1">
        <v>14135.0</v>
      </c>
      <c r="B227" s="10" t="s">
        <v>48</v>
      </c>
      <c r="C227" s="10" t="s">
        <v>50</v>
      </c>
      <c r="D227" s="1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tr">
        <f t="shared" si="1"/>
        <v>Middle Aged (31-54)</v>
      </c>
      <c r="N227" s="1" t="s">
        <v>20</v>
      </c>
    </row>
    <row r="228" ht="13.5" customHeight="1">
      <c r="A228" s="1">
        <v>12833.0</v>
      </c>
      <c r="B228" s="10" t="s">
        <v>51</v>
      </c>
      <c r="C228" s="10" t="s">
        <v>49</v>
      </c>
      <c r="D228" s="1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tr">
        <f t="shared" si="1"/>
        <v>Middle Aged (31-54)</v>
      </c>
      <c r="N228" s="1" t="s">
        <v>17</v>
      </c>
    </row>
    <row r="229" ht="13.5" customHeight="1">
      <c r="A229" s="1">
        <v>26849.0</v>
      </c>
      <c r="B229" s="10" t="s">
        <v>48</v>
      </c>
      <c r="C229" s="10" t="s">
        <v>50</v>
      </c>
      <c r="D229" s="1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tr">
        <f t="shared" si="1"/>
        <v>Middle Aged (31-54)</v>
      </c>
      <c r="N229" s="1" t="s">
        <v>20</v>
      </c>
    </row>
    <row r="230" ht="13.5" customHeight="1">
      <c r="A230" s="1">
        <v>20962.0</v>
      </c>
      <c r="B230" s="10" t="s">
        <v>48</v>
      </c>
      <c r="C230" s="10" t="s">
        <v>49</v>
      </c>
      <c r="D230" s="1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tr">
        <f t="shared" si="1"/>
        <v>Middle Aged (31-54)</v>
      </c>
      <c r="N230" s="1" t="s">
        <v>20</v>
      </c>
    </row>
    <row r="231" ht="13.5" customHeight="1">
      <c r="A231" s="1">
        <v>28915.0</v>
      </c>
      <c r="B231" s="10" t="s">
        <v>51</v>
      </c>
      <c r="C231" s="10" t="s">
        <v>50</v>
      </c>
      <c r="D231" s="1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0" t="s">
        <v>52</v>
      </c>
      <c r="K231" s="1" t="s">
        <v>19</v>
      </c>
      <c r="L231" s="1">
        <v>57.0</v>
      </c>
      <c r="M231" s="1" t="str">
        <f t="shared" si="1"/>
        <v>Old (54+)</v>
      </c>
      <c r="N231" s="1" t="s">
        <v>20</v>
      </c>
    </row>
    <row r="232" ht="13.5" customHeight="1">
      <c r="A232" s="1">
        <v>22830.0</v>
      </c>
      <c r="B232" s="10" t="s">
        <v>48</v>
      </c>
      <c r="C232" s="10" t="s">
        <v>50</v>
      </c>
      <c r="D232" s="1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0" t="s">
        <v>52</v>
      </c>
      <c r="K232" s="1" t="s">
        <v>19</v>
      </c>
      <c r="L232" s="1">
        <v>56.0</v>
      </c>
      <c r="M232" s="1" t="str">
        <f t="shared" si="1"/>
        <v>Old (54+)</v>
      </c>
      <c r="N232" s="1" t="s">
        <v>20</v>
      </c>
    </row>
    <row r="233" ht="13.5" customHeight="1">
      <c r="A233" s="1">
        <v>14777.0</v>
      </c>
      <c r="B233" s="10" t="s">
        <v>48</v>
      </c>
      <c r="C233" s="10" t="s">
        <v>49</v>
      </c>
      <c r="D233" s="1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tr">
        <f t="shared" si="1"/>
        <v>Middle Aged (31-54)</v>
      </c>
      <c r="N233" s="1" t="s">
        <v>17</v>
      </c>
    </row>
    <row r="234" ht="13.5" customHeight="1">
      <c r="A234" s="1">
        <v>12591.0</v>
      </c>
      <c r="B234" s="10" t="s">
        <v>48</v>
      </c>
      <c r="C234" s="10" t="s">
        <v>49</v>
      </c>
      <c r="D234" s="1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tr">
        <f t="shared" si="1"/>
        <v>Middle Aged (31-54)</v>
      </c>
      <c r="N234" s="1" t="s">
        <v>20</v>
      </c>
    </row>
    <row r="235" ht="13.5" customHeight="1">
      <c r="A235" s="1">
        <v>24174.0</v>
      </c>
      <c r="B235" s="10" t="s">
        <v>48</v>
      </c>
      <c r="C235" s="10" t="s">
        <v>50</v>
      </c>
      <c r="D235" s="1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tr">
        <f t="shared" si="1"/>
        <v>Adolescent (0-30)</v>
      </c>
      <c r="N235" s="1" t="s">
        <v>17</v>
      </c>
    </row>
    <row r="236" ht="13.5" customHeight="1">
      <c r="A236" s="1">
        <v>24611.0</v>
      </c>
      <c r="B236" s="10" t="s">
        <v>51</v>
      </c>
      <c r="C236" s="10" t="s">
        <v>50</v>
      </c>
      <c r="D236" s="1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0" t="s">
        <v>52</v>
      </c>
      <c r="K236" s="1" t="s">
        <v>27</v>
      </c>
      <c r="L236" s="1">
        <v>35.0</v>
      </c>
      <c r="M236" s="1" t="str">
        <f t="shared" si="1"/>
        <v>Middle Aged (31-54)</v>
      </c>
      <c r="N236" s="1" t="s">
        <v>17</v>
      </c>
    </row>
    <row r="237" ht="13.5" customHeight="1">
      <c r="A237" s="1">
        <v>11340.0</v>
      </c>
      <c r="B237" s="10" t="s">
        <v>48</v>
      </c>
      <c r="C237" s="10" t="s">
        <v>49</v>
      </c>
      <c r="D237" s="1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tr">
        <f t="shared" si="1"/>
        <v>Old (54+)</v>
      </c>
      <c r="N237" s="1" t="s">
        <v>17</v>
      </c>
    </row>
    <row r="238" ht="13.5" customHeight="1">
      <c r="A238" s="1">
        <v>25693.0</v>
      </c>
      <c r="B238" s="10" t="s">
        <v>51</v>
      </c>
      <c r="C238" s="10" t="s">
        <v>49</v>
      </c>
      <c r="D238" s="1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tr">
        <f t="shared" si="1"/>
        <v>Middle Aged (31-54)</v>
      </c>
      <c r="N238" s="1" t="s">
        <v>17</v>
      </c>
    </row>
    <row r="239" ht="13.5" customHeight="1">
      <c r="A239" s="1">
        <v>25555.0</v>
      </c>
      <c r="B239" s="10" t="s">
        <v>48</v>
      </c>
      <c r="C239" s="10" t="s">
        <v>49</v>
      </c>
      <c r="D239" s="1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tr">
        <f t="shared" si="1"/>
        <v>Adolescent (0-30)</v>
      </c>
      <c r="N239" s="1" t="s">
        <v>17</v>
      </c>
    </row>
    <row r="240" ht="13.5" customHeight="1">
      <c r="A240" s="1">
        <v>22006.0</v>
      </c>
      <c r="B240" s="10" t="s">
        <v>48</v>
      </c>
      <c r="C240" s="10" t="s">
        <v>50</v>
      </c>
      <c r="D240" s="1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tr">
        <f t="shared" si="1"/>
        <v>Middle Aged (31-54)</v>
      </c>
      <c r="N240" s="1" t="s">
        <v>20</v>
      </c>
    </row>
    <row r="241" ht="13.5" customHeight="1">
      <c r="A241" s="1">
        <v>20060.0</v>
      </c>
      <c r="B241" s="10" t="s">
        <v>51</v>
      </c>
      <c r="C241" s="10" t="s">
        <v>49</v>
      </c>
      <c r="D241" s="1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tr">
        <f t="shared" si="1"/>
        <v>Middle Aged (31-54)</v>
      </c>
      <c r="N241" s="1" t="s">
        <v>17</v>
      </c>
    </row>
    <row r="242" ht="13.5" customHeight="1">
      <c r="A242" s="1">
        <v>17702.0</v>
      </c>
      <c r="B242" s="10" t="s">
        <v>48</v>
      </c>
      <c r="C242" s="10" t="s">
        <v>50</v>
      </c>
      <c r="D242" s="1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tr">
        <f t="shared" si="1"/>
        <v>Middle Aged (31-54)</v>
      </c>
      <c r="N242" s="1" t="s">
        <v>20</v>
      </c>
    </row>
    <row r="243" ht="13.5" customHeight="1">
      <c r="A243" s="1">
        <v>12503.0</v>
      </c>
      <c r="B243" s="10" t="s">
        <v>51</v>
      </c>
      <c r="C243" s="10" t="s">
        <v>49</v>
      </c>
      <c r="D243" s="1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tr">
        <f t="shared" si="1"/>
        <v>Adolescent (0-30)</v>
      </c>
      <c r="N243" s="1" t="s">
        <v>20</v>
      </c>
    </row>
    <row r="244" ht="13.5" customHeight="1">
      <c r="A244" s="1">
        <v>23908.0</v>
      </c>
      <c r="B244" s="10" t="s">
        <v>51</v>
      </c>
      <c r="C244" s="10" t="s">
        <v>50</v>
      </c>
      <c r="D244" s="1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tr">
        <f t="shared" si="1"/>
        <v>Middle Aged (31-54)</v>
      </c>
      <c r="N244" s="1" t="s">
        <v>17</v>
      </c>
    </row>
    <row r="245" ht="13.5" customHeight="1">
      <c r="A245" s="1">
        <v>22527.0</v>
      </c>
      <c r="B245" s="10" t="s">
        <v>51</v>
      </c>
      <c r="C245" s="10" t="s">
        <v>49</v>
      </c>
      <c r="D245" s="1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tr">
        <f t="shared" si="1"/>
        <v>Adolescent (0-30)</v>
      </c>
      <c r="N245" s="1" t="s">
        <v>20</v>
      </c>
    </row>
    <row r="246" ht="13.5" customHeight="1">
      <c r="A246" s="1">
        <v>19057.0</v>
      </c>
      <c r="B246" s="10" t="s">
        <v>48</v>
      </c>
      <c r="C246" s="10" t="s">
        <v>49</v>
      </c>
      <c r="D246" s="1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0" t="s">
        <v>52</v>
      </c>
      <c r="K246" s="1" t="s">
        <v>19</v>
      </c>
      <c r="L246" s="1">
        <v>52.0</v>
      </c>
      <c r="M246" s="1" t="str">
        <f t="shared" si="1"/>
        <v>Middle Aged (31-54)</v>
      </c>
      <c r="N246" s="1" t="s">
        <v>17</v>
      </c>
    </row>
    <row r="247" ht="13.5" customHeight="1">
      <c r="A247" s="1">
        <v>18494.0</v>
      </c>
      <c r="B247" s="10" t="s">
        <v>48</v>
      </c>
      <c r="C247" s="10" t="s">
        <v>50</v>
      </c>
      <c r="D247" s="1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tr">
        <f t="shared" si="1"/>
        <v>Middle Aged (31-54)</v>
      </c>
      <c r="N247" s="1" t="s">
        <v>17</v>
      </c>
    </row>
    <row r="248" ht="13.5" customHeight="1">
      <c r="A248" s="1">
        <v>11249.0</v>
      </c>
      <c r="B248" s="10" t="s">
        <v>48</v>
      </c>
      <c r="C248" s="10" t="s">
        <v>49</v>
      </c>
      <c r="D248" s="1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tr">
        <f t="shared" si="1"/>
        <v>Middle Aged (31-54)</v>
      </c>
      <c r="N248" s="1" t="s">
        <v>17</v>
      </c>
    </row>
    <row r="249" ht="13.5" customHeight="1">
      <c r="A249" s="1">
        <v>21568.0</v>
      </c>
      <c r="B249" s="10" t="s">
        <v>48</v>
      </c>
      <c r="C249" s="10" t="s">
        <v>49</v>
      </c>
      <c r="D249" s="1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0" t="s">
        <v>52</v>
      </c>
      <c r="K249" s="1" t="s">
        <v>27</v>
      </c>
      <c r="L249" s="1">
        <v>34.0</v>
      </c>
      <c r="M249" s="1" t="str">
        <f t="shared" si="1"/>
        <v>Middle Aged (31-54)</v>
      </c>
      <c r="N249" s="1" t="s">
        <v>17</v>
      </c>
    </row>
    <row r="250" ht="13.5" customHeight="1">
      <c r="A250" s="1">
        <v>13981.0</v>
      </c>
      <c r="B250" s="10" t="s">
        <v>48</v>
      </c>
      <c r="C250" s="10" t="s">
        <v>49</v>
      </c>
      <c r="D250" s="1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tr">
        <f t="shared" si="1"/>
        <v>Old (54+)</v>
      </c>
      <c r="N250" s="1" t="s">
        <v>20</v>
      </c>
    </row>
    <row r="251" ht="13.5" customHeight="1">
      <c r="A251" s="1">
        <v>23432.0</v>
      </c>
      <c r="B251" s="10" t="s">
        <v>51</v>
      </c>
      <c r="C251" s="10" t="s">
        <v>50</v>
      </c>
      <c r="D251" s="1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tr">
        <f t="shared" si="1"/>
        <v>Middle Aged (31-54)</v>
      </c>
      <c r="N251" s="1" t="s">
        <v>17</v>
      </c>
    </row>
    <row r="252" ht="13.5" customHeight="1">
      <c r="A252" s="1">
        <v>22931.0</v>
      </c>
      <c r="B252" s="10" t="s">
        <v>48</v>
      </c>
      <c r="C252" s="10" t="s">
        <v>50</v>
      </c>
      <c r="D252" s="1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tr">
        <f t="shared" si="1"/>
        <v>Old (54+)</v>
      </c>
      <c r="N252" s="1" t="s">
        <v>17</v>
      </c>
    </row>
    <row r="253" ht="13.5" customHeight="1">
      <c r="A253" s="1">
        <v>18172.0</v>
      </c>
      <c r="B253" s="10" t="s">
        <v>48</v>
      </c>
      <c r="C253" s="10" t="s">
        <v>50</v>
      </c>
      <c r="D253" s="1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tr">
        <f t="shared" si="1"/>
        <v>Old (54+)</v>
      </c>
      <c r="N253" s="1" t="s">
        <v>20</v>
      </c>
    </row>
    <row r="254" ht="13.5" customHeight="1">
      <c r="A254" s="1">
        <v>12666.0</v>
      </c>
      <c r="B254" s="10" t="s">
        <v>51</v>
      </c>
      <c r="C254" s="10" t="s">
        <v>50</v>
      </c>
      <c r="D254" s="1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tr">
        <f t="shared" si="1"/>
        <v>Middle Aged (31-54)</v>
      </c>
      <c r="N254" s="1" t="s">
        <v>20</v>
      </c>
    </row>
    <row r="255" ht="13.5" customHeight="1">
      <c r="A255" s="1">
        <v>20598.0</v>
      </c>
      <c r="B255" s="10" t="s">
        <v>48</v>
      </c>
      <c r="C255" s="10" t="s">
        <v>50</v>
      </c>
      <c r="D255" s="1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0" t="s">
        <v>52</v>
      </c>
      <c r="K255" s="1" t="s">
        <v>19</v>
      </c>
      <c r="L255" s="1">
        <v>59.0</v>
      </c>
      <c r="M255" s="1" t="str">
        <f t="shared" si="1"/>
        <v>Old (54+)</v>
      </c>
      <c r="N255" s="1" t="s">
        <v>17</v>
      </c>
    </row>
    <row r="256" ht="13.5" customHeight="1">
      <c r="A256" s="1">
        <v>21375.0</v>
      </c>
      <c r="B256" s="10" t="s">
        <v>51</v>
      </c>
      <c r="C256" s="10" t="s">
        <v>50</v>
      </c>
      <c r="D256" s="1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tr">
        <f t="shared" si="1"/>
        <v>Old (54+)</v>
      </c>
      <c r="N256" s="1" t="s">
        <v>20</v>
      </c>
    </row>
    <row r="257" ht="13.5" customHeight="1">
      <c r="A257" s="1">
        <v>20839.0</v>
      </c>
      <c r="B257" s="10" t="s">
        <v>51</v>
      </c>
      <c r="C257" s="10" t="s">
        <v>49</v>
      </c>
      <c r="D257" s="1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tr">
        <f t="shared" si="1"/>
        <v>Middle Aged (31-54)</v>
      </c>
      <c r="N257" s="1" t="s">
        <v>17</v>
      </c>
    </row>
    <row r="258" ht="13.5" customHeight="1">
      <c r="A258" s="1">
        <v>21738.0</v>
      </c>
      <c r="B258" s="10" t="s">
        <v>48</v>
      </c>
      <c r="C258" s="10" t="s">
        <v>50</v>
      </c>
      <c r="D258" s="1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tr">
        <f t="shared" si="1"/>
        <v>Middle Aged (31-54)</v>
      </c>
      <c r="N258" s="1" t="s">
        <v>20</v>
      </c>
    </row>
    <row r="259" ht="13.5" customHeight="1">
      <c r="A259" s="1">
        <v>14164.0</v>
      </c>
      <c r="B259" s="10" t="s">
        <v>51</v>
      </c>
      <c r="C259" s="10" t="s">
        <v>49</v>
      </c>
      <c r="D259" s="1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tr">
        <f t="shared" si="1"/>
        <v>Middle Aged (31-54)</v>
      </c>
      <c r="N259" s="1" t="s">
        <v>17</v>
      </c>
    </row>
    <row r="260" ht="13.5" customHeight="1">
      <c r="A260" s="1">
        <v>14193.0</v>
      </c>
      <c r="B260" s="10" t="s">
        <v>51</v>
      </c>
      <c r="C260" s="10" t="s">
        <v>49</v>
      </c>
      <c r="D260" s="1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0" t="s">
        <v>52</v>
      </c>
      <c r="K260" s="1" t="s">
        <v>19</v>
      </c>
      <c r="L260" s="1">
        <v>56.0</v>
      </c>
      <c r="M260" s="1" t="str">
        <f t="shared" si="1"/>
        <v>Old (54+)</v>
      </c>
      <c r="N260" s="1" t="s">
        <v>20</v>
      </c>
    </row>
    <row r="261" ht="13.5" customHeight="1">
      <c r="A261" s="1">
        <v>12705.0</v>
      </c>
      <c r="B261" s="10" t="s">
        <v>48</v>
      </c>
      <c r="C261" s="10" t="s">
        <v>50</v>
      </c>
      <c r="D261" s="1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tr">
        <f t="shared" si="1"/>
        <v>Middle Aged (31-54)</v>
      </c>
      <c r="N261" s="1" t="s">
        <v>17</v>
      </c>
    </row>
    <row r="262" ht="13.5" customHeight="1">
      <c r="A262" s="1">
        <v>22672.0</v>
      </c>
      <c r="B262" s="10" t="s">
        <v>51</v>
      </c>
      <c r="C262" s="10" t="s">
        <v>49</v>
      </c>
      <c r="D262" s="1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tr">
        <f t="shared" si="1"/>
        <v>Middle Aged (31-54)</v>
      </c>
      <c r="N262" s="1" t="s">
        <v>20</v>
      </c>
    </row>
    <row r="263" ht="13.5" customHeight="1">
      <c r="A263" s="1">
        <v>26219.0</v>
      </c>
      <c r="B263" s="10" t="s">
        <v>48</v>
      </c>
      <c r="C263" s="10" t="s">
        <v>49</v>
      </c>
      <c r="D263" s="1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tr">
        <f t="shared" si="1"/>
        <v>Middle Aged (31-54)</v>
      </c>
      <c r="N263" s="1" t="s">
        <v>17</v>
      </c>
    </row>
    <row r="264" ht="13.5" customHeight="1">
      <c r="A264" s="1">
        <v>28468.0</v>
      </c>
      <c r="B264" s="10" t="s">
        <v>48</v>
      </c>
      <c r="C264" s="10" t="s">
        <v>49</v>
      </c>
      <c r="D264" s="1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tr">
        <f t="shared" si="1"/>
        <v>Middle Aged (31-54)</v>
      </c>
      <c r="N264" s="1" t="s">
        <v>20</v>
      </c>
    </row>
    <row r="265" ht="13.5" customHeight="1">
      <c r="A265" s="1">
        <v>23419.0</v>
      </c>
      <c r="B265" s="10" t="s">
        <v>51</v>
      </c>
      <c r="C265" s="10" t="s">
        <v>49</v>
      </c>
      <c r="D265" s="1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0" t="s">
        <v>52</v>
      </c>
      <c r="K265" s="1" t="s">
        <v>27</v>
      </c>
      <c r="L265" s="1">
        <v>39.0</v>
      </c>
      <c r="M265" s="1" t="str">
        <f t="shared" si="1"/>
        <v>Middle Aged (31-54)</v>
      </c>
      <c r="N265" s="1" t="s">
        <v>20</v>
      </c>
    </row>
    <row r="266" ht="13.5" customHeight="1">
      <c r="A266" s="1">
        <v>17964.0</v>
      </c>
      <c r="B266" s="10" t="s">
        <v>48</v>
      </c>
      <c r="C266" s="10" t="s">
        <v>50</v>
      </c>
      <c r="D266" s="1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tr">
        <f t="shared" si="1"/>
        <v>Middle Aged (31-54)</v>
      </c>
      <c r="N266" s="1" t="s">
        <v>17</v>
      </c>
    </row>
    <row r="267" ht="13.5" customHeight="1">
      <c r="A267" s="1">
        <v>20919.0</v>
      </c>
      <c r="B267" s="10" t="s">
        <v>51</v>
      </c>
      <c r="C267" s="10" t="s">
        <v>49</v>
      </c>
      <c r="D267" s="1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tr">
        <f t="shared" si="1"/>
        <v>Middle Aged (31-54)</v>
      </c>
      <c r="N267" s="1" t="s">
        <v>20</v>
      </c>
    </row>
    <row r="268" ht="13.5" customHeight="1">
      <c r="A268" s="1">
        <v>20927.0</v>
      </c>
      <c r="B268" s="10" t="s">
        <v>51</v>
      </c>
      <c r="C268" s="10" t="s">
        <v>49</v>
      </c>
      <c r="D268" s="1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tr">
        <f t="shared" si="1"/>
        <v>Adolescent (0-30)</v>
      </c>
      <c r="N268" s="1" t="s">
        <v>20</v>
      </c>
    </row>
    <row r="269" ht="13.5" customHeight="1">
      <c r="A269" s="1">
        <v>13133.0</v>
      </c>
      <c r="B269" s="10" t="s">
        <v>51</v>
      </c>
      <c r="C269" s="10" t="s">
        <v>50</v>
      </c>
      <c r="D269" s="1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tr">
        <f t="shared" si="1"/>
        <v>Middle Aged (31-54)</v>
      </c>
      <c r="N269" s="1" t="s">
        <v>17</v>
      </c>
    </row>
    <row r="270" ht="13.5" customHeight="1">
      <c r="A270" s="1">
        <v>19626.0</v>
      </c>
      <c r="B270" s="10" t="s">
        <v>48</v>
      </c>
      <c r="C270" s="10" t="s">
        <v>50</v>
      </c>
      <c r="D270" s="1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tr">
        <f t="shared" si="1"/>
        <v>Middle Aged (31-54)</v>
      </c>
      <c r="N270" s="1" t="s">
        <v>20</v>
      </c>
    </row>
    <row r="271" ht="13.5" customHeight="1">
      <c r="A271" s="1">
        <v>21039.0</v>
      </c>
      <c r="B271" s="10" t="s">
        <v>51</v>
      </c>
      <c r="C271" s="10" t="s">
        <v>49</v>
      </c>
      <c r="D271" s="1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tr">
        <f t="shared" si="1"/>
        <v>Middle Aged (31-54)</v>
      </c>
      <c r="N271" s="1" t="s">
        <v>17</v>
      </c>
    </row>
    <row r="272" ht="13.5" customHeight="1">
      <c r="A272" s="1">
        <v>12231.0</v>
      </c>
      <c r="B272" s="10" t="s">
        <v>51</v>
      </c>
      <c r="C272" s="10" t="s">
        <v>49</v>
      </c>
      <c r="D272" s="1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tr">
        <f t="shared" si="1"/>
        <v>Middle Aged (31-54)</v>
      </c>
      <c r="N272" s="1" t="s">
        <v>17</v>
      </c>
    </row>
    <row r="273" ht="13.5" customHeight="1">
      <c r="A273" s="1">
        <v>25665.0</v>
      </c>
      <c r="B273" s="10" t="s">
        <v>51</v>
      </c>
      <c r="C273" s="10" t="s">
        <v>49</v>
      </c>
      <c r="D273" s="1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tr">
        <f t="shared" si="1"/>
        <v>Adolescent (0-30)</v>
      </c>
      <c r="N273" s="1" t="s">
        <v>20</v>
      </c>
    </row>
    <row r="274" ht="13.5" customHeight="1">
      <c r="A274" s="1">
        <v>24061.0</v>
      </c>
      <c r="B274" s="10" t="s">
        <v>48</v>
      </c>
      <c r="C274" s="10" t="s">
        <v>50</v>
      </c>
      <c r="D274" s="1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tr">
        <f t="shared" si="1"/>
        <v>Middle Aged (31-54)</v>
      </c>
      <c r="N274" s="1" t="s">
        <v>17</v>
      </c>
    </row>
    <row r="275" ht="13.5" customHeight="1">
      <c r="A275" s="1">
        <v>26879.0</v>
      </c>
      <c r="B275" s="10" t="s">
        <v>51</v>
      </c>
      <c r="C275" s="10" t="s">
        <v>49</v>
      </c>
      <c r="D275" s="1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tr">
        <f t="shared" si="1"/>
        <v>Adolescent (0-30)</v>
      </c>
      <c r="N275" s="1" t="s">
        <v>20</v>
      </c>
    </row>
    <row r="276" ht="13.5" customHeight="1">
      <c r="A276" s="1">
        <v>12284.0</v>
      </c>
      <c r="B276" s="10" t="s">
        <v>48</v>
      </c>
      <c r="C276" s="10" t="s">
        <v>49</v>
      </c>
      <c r="D276" s="1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tr">
        <f t="shared" si="1"/>
        <v>Middle Aged (31-54)</v>
      </c>
      <c r="N276" s="1" t="s">
        <v>17</v>
      </c>
    </row>
    <row r="277" ht="13.5" customHeight="1">
      <c r="A277" s="1">
        <v>26654.0</v>
      </c>
      <c r="B277" s="10" t="s">
        <v>48</v>
      </c>
      <c r="C277" s="10" t="s">
        <v>49</v>
      </c>
      <c r="D277" s="1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tr">
        <f t="shared" si="1"/>
        <v>Middle Aged (31-54)</v>
      </c>
      <c r="N277" s="1" t="s">
        <v>17</v>
      </c>
    </row>
    <row r="278" ht="13.5" customHeight="1">
      <c r="A278" s="1">
        <v>14545.0</v>
      </c>
      <c r="B278" s="10" t="s">
        <v>48</v>
      </c>
      <c r="C278" s="10" t="s">
        <v>49</v>
      </c>
      <c r="D278" s="1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tr">
        <f t="shared" si="1"/>
        <v>Middle Aged (31-54)</v>
      </c>
      <c r="N278" s="1" t="s">
        <v>20</v>
      </c>
    </row>
    <row r="279" ht="13.5" customHeight="1">
      <c r="A279" s="1">
        <v>24201.0</v>
      </c>
      <c r="B279" s="10" t="s">
        <v>48</v>
      </c>
      <c r="C279" s="10" t="s">
        <v>49</v>
      </c>
      <c r="D279" s="1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tr">
        <f t="shared" si="1"/>
        <v>Middle Aged (31-54)</v>
      </c>
      <c r="N279" s="1" t="s">
        <v>17</v>
      </c>
    </row>
    <row r="280" ht="13.5" customHeight="1">
      <c r="A280" s="1">
        <v>20625.0</v>
      </c>
      <c r="B280" s="10" t="s">
        <v>48</v>
      </c>
      <c r="C280" s="10" t="s">
        <v>50</v>
      </c>
      <c r="D280" s="1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0" t="s">
        <v>52</v>
      </c>
      <c r="K280" s="1" t="s">
        <v>27</v>
      </c>
      <c r="L280" s="1">
        <v>35.0</v>
      </c>
      <c r="M280" s="1" t="str">
        <f t="shared" si="1"/>
        <v>Middle Aged (31-54)</v>
      </c>
      <c r="N280" s="1" t="s">
        <v>17</v>
      </c>
    </row>
    <row r="281" ht="13.5" customHeight="1">
      <c r="A281" s="1">
        <v>16390.0</v>
      </c>
      <c r="B281" s="10" t="s">
        <v>51</v>
      </c>
      <c r="C281" s="10" t="s">
        <v>50</v>
      </c>
      <c r="D281" s="1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tr">
        <f t="shared" si="1"/>
        <v>Middle Aged (31-54)</v>
      </c>
      <c r="N281" s="1" t="s">
        <v>17</v>
      </c>
    </row>
    <row r="282" ht="13.5" customHeight="1">
      <c r="A282" s="1">
        <v>14804.0</v>
      </c>
      <c r="B282" s="10" t="s">
        <v>51</v>
      </c>
      <c r="C282" s="10" t="s">
        <v>49</v>
      </c>
      <c r="D282" s="1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tr">
        <f t="shared" si="1"/>
        <v>Middle Aged (31-54)</v>
      </c>
      <c r="N282" s="1" t="s">
        <v>20</v>
      </c>
    </row>
    <row r="283" ht="13.5" customHeight="1">
      <c r="A283" s="1">
        <v>12629.0</v>
      </c>
      <c r="B283" s="10" t="s">
        <v>51</v>
      </c>
      <c r="C283" s="10" t="s">
        <v>50</v>
      </c>
      <c r="D283" s="1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tr">
        <f t="shared" si="1"/>
        <v>Middle Aged (31-54)</v>
      </c>
      <c r="N283" s="1" t="s">
        <v>20</v>
      </c>
    </row>
    <row r="284" ht="13.5" customHeight="1">
      <c r="A284" s="1">
        <v>14696.0</v>
      </c>
      <c r="B284" s="10" t="s">
        <v>51</v>
      </c>
      <c r="C284" s="10" t="s">
        <v>50</v>
      </c>
      <c r="D284" s="1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tr">
        <f t="shared" si="1"/>
        <v>Middle Aged (31-54)</v>
      </c>
      <c r="N284" s="1" t="s">
        <v>20</v>
      </c>
    </row>
    <row r="285" ht="13.5" customHeight="1">
      <c r="A285" s="1">
        <v>22005.0</v>
      </c>
      <c r="B285" s="10" t="s">
        <v>48</v>
      </c>
      <c r="C285" s="10" t="s">
        <v>49</v>
      </c>
      <c r="D285" s="1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tr">
        <f t="shared" si="1"/>
        <v>Middle Aged (31-54)</v>
      </c>
      <c r="N285" s="1" t="s">
        <v>20</v>
      </c>
    </row>
    <row r="286" ht="13.5" customHeight="1">
      <c r="A286" s="1">
        <v>14544.0</v>
      </c>
      <c r="B286" s="10" t="s">
        <v>51</v>
      </c>
      <c r="C286" s="10" t="s">
        <v>50</v>
      </c>
      <c r="D286" s="1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tr">
        <f t="shared" si="1"/>
        <v>Middle Aged (31-54)</v>
      </c>
      <c r="N286" s="1" t="s">
        <v>20</v>
      </c>
    </row>
    <row r="287" ht="13.5" customHeight="1">
      <c r="A287" s="1">
        <v>14312.0</v>
      </c>
      <c r="B287" s="10" t="s">
        <v>48</v>
      </c>
      <c r="C287" s="10" t="s">
        <v>49</v>
      </c>
      <c r="D287" s="1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tr">
        <f t="shared" si="1"/>
        <v>Middle Aged (31-54)</v>
      </c>
      <c r="N287" s="1" t="s">
        <v>20</v>
      </c>
    </row>
    <row r="288" ht="13.5" customHeight="1">
      <c r="A288" s="1">
        <v>29120.0</v>
      </c>
      <c r="B288" s="10" t="s">
        <v>51</v>
      </c>
      <c r="C288" s="10" t="s">
        <v>49</v>
      </c>
      <c r="D288" s="1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tr">
        <f t="shared" si="1"/>
        <v>Middle Aged (31-54)</v>
      </c>
      <c r="N288" s="1" t="s">
        <v>20</v>
      </c>
    </row>
    <row r="289" ht="13.5" customHeight="1">
      <c r="A289" s="1">
        <v>24187.0</v>
      </c>
      <c r="B289" s="10" t="s">
        <v>51</v>
      </c>
      <c r="C289" s="10" t="s">
        <v>49</v>
      </c>
      <c r="D289" s="1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tr">
        <f t="shared" si="1"/>
        <v>Middle Aged (31-54)</v>
      </c>
      <c r="N289" s="1" t="s">
        <v>17</v>
      </c>
    </row>
    <row r="290" ht="13.5" customHeight="1">
      <c r="A290" s="1">
        <v>15758.0</v>
      </c>
      <c r="B290" s="10" t="s">
        <v>48</v>
      </c>
      <c r="C290" s="10" t="s">
        <v>50</v>
      </c>
      <c r="D290" s="1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tr">
        <f t="shared" si="1"/>
        <v>Middle Aged (31-54)</v>
      </c>
      <c r="N290" s="1" t="s">
        <v>20</v>
      </c>
    </row>
    <row r="291" ht="13.5" customHeight="1">
      <c r="A291" s="1">
        <v>29094.0</v>
      </c>
      <c r="B291" s="10" t="s">
        <v>48</v>
      </c>
      <c r="C291" s="10" t="s">
        <v>50</v>
      </c>
      <c r="D291" s="1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tr">
        <f t="shared" si="1"/>
        <v>Middle Aged (31-54)</v>
      </c>
      <c r="N291" s="1" t="s">
        <v>17</v>
      </c>
    </row>
    <row r="292" ht="13.5" customHeight="1">
      <c r="A292" s="1">
        <v>28319.0</v>
      </c>
      <c r="B292" s="10" t="s">
        <v>51</v>
      </c>
      <c r="C292" s="10" t="s">
        <v>49</v>
      </c>
      <c r="D292" s="1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tr">
        <f t="shared" si="1"/>
        <v>Middle Aged (31-54)</v>
      </c>
      <c r="N292" s="1" t="s">
        <v>17</v>
      </c>
    </row>
    <row r="293" ht="13.5" customHeight="1">
      <c r="A293" s="1">
        <v>16406.0</v>
      </c>
      <c r="B293" s="10" t="s">
        <v>48</v>
      </c>
      <c r="C293" s="10" t="s">
        <v>50</v>
      </c>
      <c r="D293" s="1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tr">
        <f t="shared" si="1"/>
        <v>Middle Aged (31-54)</v>
      </c>
      <c r="N293" s="1" t="s">
        <v>17</v>
      </c>
    </row>
    <row r="294" ht="13.5" customHeight="1">
      <c r="A294" s="1">
        <v>20923.0</v>
      </c>
      <c r="B294" s="10" t="s">
        <v>48</v>
      </c>
      <c r="C294" s="10" t="s">
        <v>49</v>
      </c>
      <c r="D294" s="1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tr">
        <f t="shared" si="1"/>
        <v>Middle Aged (31-54)</v>
      </c>
      <c r="N294" s="1" t="s">
        <v>17</v>
      </c>
    </row>
    <row r="295" ht="13.5" customHeight="1">
      <c r="A295" s="1">
        <v>11378.0</v>
      </c>
      <c r="B295" s="10" t="s">
        <v>51</v>
      </c>
      <c r="C295" s="10" t="s">
        <v>49</v>
      </c>
      <c r="D295" s="1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tr">
        <f t="shared" si="1"/>
        <v>Middle Aged (31-54)</v>
      </c>
      <c r="N295" s="1" t="s">
        <v>17</v>
      </c>
    </row>
    <row r="296" ht="13.5" customHeight="1">
      <c r="A296" s="1">
        <v>20851.0</v>
      </c>
      <c r="B296" s="10" t="s">
        <v>51</v>
      </c>
      <c r="C296" s="10" t="s">
        <v>50</v>
      </c>
      <c r="D296" s="1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tr">
        <f t="shared" si="1"/>
        <v>Middle Aged (31-54)</v>
      </c>
      <c r="N296" s="1" t="s">
        <v>17</v>
      </c>
    </row>
    <row r="297" ht="13.5" customHeight="1">
      <c r="A297" s="1">
        <v>21557.0</v>
      </c>
      <c r="B297" s="10" t="s">
        <v>51</v>
      </c>
      <c r="C297" s="10" t="s">
        <v>49</v>
      </c>
      <c r="D297" s="1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0" t="s">
        <v>52</v>
      </c>
      <c r="K297" s="1" t="s">
        <v>27</v>
      </c>
      <c r="L297" s="1">
        <v>32.0</v>
      </c>
      <c r="M297" s="1" t="str">
        <f t="shared" si="1"/>
        <v>Middle Aged (31-54)</v>
      </c>
      <c r="N297" s="1" t="s">
        <v>17</v>
      </c>
    </row>
    <row r="298" ht="13.5" customHeight="1">
      <c r="A298" s="1">
        <v>26663.0</v>
      </c>
      <c r="B298" s="10" t="s">
        <v>51</v>
      </c>
      <c r="C298" s="10" t="s">
        <v>49</v>
      </c>
      <c r="D298" s="1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tr">
        <f t="shared" si="1"/>
        <v>Middle Aged (31-54)</v>
      </c>
      <c r="N298" s="1" t="s">
        <v>17</v>
      </c>
    </row>
    <row r="299" ht="13.5" customHeight="1">
      <c r="A299" s="1">
        <v>11896.0</v>
      </c>
      <c r="B299" s="10" t="s">
        <v>48</v>
      </c>
      <c r="C299" s="10" t="s">
        <v>50</v>
      </c>
      <c r="D299" s="1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tr">
        <f t="shared" si="1"/>
        <v>Middle Aged (31-54)</v>
      </c>
      <c r="N299" s="1" t="s">
        <v>17</v>
      </c>
    </row>
    <row r="300" ht="13.5" customHeight="1">
      <c r="A300" s="1">
        <v>14189.0</v>
      </c>
      <c r="B300" s="10" t="s">
        <v>48</v>
      </c>
      <c r="C300" s="10" t="s">
        <v>49</v>
      </c>
      <c r="D300" s="1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tr">
        <f t="shared" si="1"/>
        <v>Middle Aged (31-54)</v>
      </c>
      <c r="N300" s="1" t="s">
        <v>17</v>
      </c>
    </row>
    <row r="301" ht="13.5" customHeight="1">
      <c r="A301" s="1">
        <v>13136.0</v>
      </c>
      <c r="B301" s="10" t="s">
        <v>48</v>
      </c>
      <c r="C301" s="10" t="s">
        <v>49</v>
      </c>
      <c r="D301" s="1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tr">
        <f t="shared" si="1"/>
        <v>Old (54+)</v>
      </c>
      <c r="N301" s="1" t="s">
        <v>20</v>
      </c>
    </row>
    <row r="302" ht="13.5" customHeight="1">
      <c r="A302" s="1">
        <v>25906.0</v>
      </c>
      <c r="B302" s="10" t="s">
        <v>51</v>
      </c>
      <c r="C302" s="10" t="s">
        <v>49</v>
      </c>
      <c r="D302" s="1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tr">
        <f t="shared" si="1"/>
        <v>Old (54+)</v>
      </c>
      <c r="N302" s="1" t="s">
        <v>20</v>
      </c>
    </row>
    <row r="303" ht="13.5" customHeight="1">
      <c r="A303" s="1">
        <v>17926.0</v>
      </c>
      <c r="B303" s="10" t="s">
        <v>51</v>
      </c>
      <c r="C303" s="10" t="s">
        <v>49</v>
      </c>
      <c r="D303" s="1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tr">
        <f t="shared" si="1"/>
        <v>Adolescent (0-30)</v>
      </c>
      <c r="N303" s="1" t="s">
        <v>17</v>
      </c>
    </row>
    <row r="304" ht="13.5" customHeight="1">
      <c r="A304" s="1">
        <v>26928.0</v>
      </c>
      <c r="B304" s="10" t="s">
        <v>51</v>
      </c>
      <c r="C304" s="10" t="s">
        <v>50</v>
      </c>
      <c r="D304" s="1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tr">
        <f t="shared" si="1"/>
        <v>Old (54+)</v>
      </c>
      <c r="N304" s="1" t="s">
        <v>17</v>
      </c>
    </row>
    <row r="305" ht="13.5" customHeight="1">
      <c r="A305" s="1">
        <v>20897.0</v>
      </c>
      <c r="B305" s="10" t="s">
        <v>48</v>
      </c>
      <c r="C305" s="10" t="s">
        <v>49</v>
      </c>
      <c r="D305" s="1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tr">
        <f t="shared" si="1"/>
        <v>Middle Aged (31-54)</v>
      </c>
      <c r="N305" s="1" t="s">
        <v>20</v>
      </c>
    </row>
    <row r="306" ht="13.5" customHeight="1">
      <c r="A306" s="1">
        <v>28207.0</v>
      </c>
      <c r="B306" s="10" t="s">
        <v>48</v>
      </c>
      <c r="C306" s="10" t="s">
        <v>50</v>
      </c>
      <c r="D306" s="1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tr">
        <f t="shared" si="1"/>
        <v>Middle Aged (31-54)</v>
      </c>
      <c r="N306" s="1" t="s">
        <v>17</v>
      </c>
    </row>
    <row r="307" ht="13.5" customHeight="1">
      <c r="A307" s="1">
        <v>25923.0</v>
      </c>
      <c r="B307" s="10" t="s">
        <v>51</v>
      </c>
      <c r="C307" s="10" t="s">
        <v>50</v>
      </c>
      <c r="D307" s="1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tr">
        <f t="shared" si="1"/>
        <v>Old (54+)</v>
      </c>
      <c r="N307" s="1" t="s">
        <v>20</v>
      </c>
    </row>
    <row r="308" ht="13.5" customHeight="1">
      <c r="A308" s="1">
        <v>11000.0</v>
      </c>
      <c r="B308" s="10" t="s">
        <v>48</v>
      </c>
      <c r="C308" s="10" t="s">
        <v>50</v>
      </c>
      <c r="D308" s="1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tr">
        <f t="shared" si="1"/>
        <v>Middle Aged (31-54)</v>
      </c>
      <c r="N308" s="1" t="s">
        <v>17</v>
      </c>
    </row>
    <row r="309" ht="13.5" customHeight="1">
      <c r="A309" s="1">
        <v>20974.0</v>
      </c>
      <c r="B309" s="10" t="s">
        <v>48</v>
      </c>
      <c r="C309" s="10" t="s">
        <v>50</v>
      </c>
      <c r="D309" s="1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tr">
        <f t="shared" si="1"/>
        <v>Old (54+)</v>
      </c>
      <c r="N309" s="1" t="s">
        <v>20</v>
      </c>
    </row>
    <row r="310" ht="13.5" customHeight="1">
      <c r="A310" s="1">
        <v>28758.0</v>
      </c>
      <c r="B310" s="10" t="s">
        <v>48</v>
      </c>
      <c r="C310" s="10" t="s">
        <v>50</v>
      </c>
      <c r="D310" s="1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tr">
        <f t="shared" si="1"/>
        <v>Middle Aged (31-54)</v>
      </c>
      <c r="N310" s="1" t="s">
        <v>17</v>
      </c>
    </row>
    <row r="311" ht="13.5" customHeight="1">
      <c r="A311" s="1">
        <v>11381.0</v>
      </c>
      <c r="B311" s="10" t="s">
        <v>48</v>
      </c>
      <c r="C311" s="10" t="s">
        <v>49</v>
      </c>
      <c r="D311" s="1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tr">
        <f t="shared" si="1"/>
        <v>Middle Aged (31-54)</v>
      </c>
      <c r="N311" s="1" t="s">
        <v>17</v>
      </c>
    </row>
    <row r="312" ht="13.5" customHeight="1">
      <c r="A312" s="1">
        <v>17522.0</v>
      </c>
      <c r="B312" s="10" t="s">
        <v>48</v>
      </c>
      <c r="C312" s="10" t="s">
        <v>50</v>
      </c>
      <c r="D312" s="1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tr">
        <f t="shared" si="1"/>
        <v>Middle Aged (31-54)</v>
      </c>
      <c r="N312" s="1" t="s">
        <v>20</v>
      </c>
    </row>
    <row r="313" ht="13.5" customHeight="1">
      <c r="A313" s="1">
        <v>21207.0</v>
      </c>
      <c r="B313" s="10" t="s">
        <v>48</v>
      </c>
      <c r="C313" s="10" t="s">
        <v>50</v>
      </c>
      <c r="D313" s="1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tr">
        <f t="shared" si="1"/>
        <v>Middle Aged (31-54)</v>
      </c>
      <c r="N313" s="1" t="s">
        <v>20</v>
      </c>
    </row>
    <row r="314" ht="13.5" customHeight="1">
      <c r="A314" s="1">
        <v>28102.0</v>
      </c>
      <c r="B314" s="10" t="s">
        <v>48</v>
      </c>
      <c r="C314" s="10" t="s">
        <v>50</v>
      </c>
      <c r="D314" s="1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tr">
        <f t="shared" si="1"/>
        <v>Old (54+)</v>
      </c>
      <c r="N314" s="1" t="s">
        <v>17</v>
      </c>
    </row>
    <row r="315" ht="13.5" customHeight="1">
      <c r="A315" s="1">
        <v>23105.0</v>
      </c>
      <c r="B315" s="10" t="s">
        <v>51</v>
      </c>
      <c r="C315" s="10" t="s">
        <v>50</v>
      </c>
      <c r="D315" s="1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tr">
        <f t="shared" si="1"/>
        <v>Middle Aged (31-54)</v>
      </c>
      <c r="N315" s="1" t="s">
        <v>17</v>
      </c>
    </row>
    <row r="316" ht="13.5" customHeight="1">
      <c r="A316" s="1">
        <v>18740.0</v>
      </c>
      <c r="B316" s="10" t="s">
        <v>48</v>
      </c>
      <c r="C316" s="10" t="s">
        <v>50</v>
      </c>
      <c r="D316" s="1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tr">
        <f t="shared" si="1"/>
        <v>Middle Aged (31-54)</v>
      </c>
      <c r="N316" s="1" t="s">
        <v>17</v>
      </c>
    </row>
    <row r="317" ht="13.5" customHeight="1">
      <c r="A317" s="1">
        <v>21213.0</v>
      </c>
      <c r="B317" s="10" t="s">
        <v>51</v>
      </c>
      <c r="C317" s="10" t="s">
        <v>50</v>
      </c>
      <c r="D317" s="1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tr">
        <f t="shared" si="1"/>
        <v>Middle Aged (31-54)</v>
      </c>
      <c r="N317" s="1" t="s">
        <v>20</v>
      </c>
    </row>
    <row r="318" ht="13.5" customHeight="1">
      <c r="A318" s="1">
        <v>17352.0</v>
      </c>
      <c r="B318" s="10" t="s">
        <v>48</v>
      </c>
      <c r="C318" s="10" t="s">
        <v>50</v>
      </c>
      <c r="D318" s="1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tr">
        <f t="shared" si="1"/>
        <v>Old (54+)</v>
      </c>
      <c r="N318" s="1" t="s">
        <v>17</v>
      </c>
    </row>
    <row r="319" ht="13.5" customHeight="1">
      <c r="A319" s="1">
        <v>14154.0</v>
      </c>
      <c r="B319" s="10" t="s">
        <v>48</v>
      </c>
      <c r="C319" s="10" t="s">
        <v>50</v>
      </c>
      <c r="D319" s="1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tr">
        <f t="shared" si="1"/>
        <v>Middle Aged (31-54)</v>
      </c>
      <c r="N319" s="1" t="s">
        <v>17</v>
      </c>
    </row>
    <row r="320" ht="13.5" customHeight="1">
      <c r="A320" s="1">
        <v>19066.0</v>
      </c>
      <c r="B320" s="10" t="s">
        <v>48</v>
      </c>
      <c r="C320" s="10" t="s">
        <v>50</v>
      </c>
      <c r="D320" s="1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0" t="s">
        <v>52</v>
      </c>
      <c r="K320" s="1" t="s">
        <v>19</v>
      </c>
      <c r="L320" s="1">
        <v>54.0</v>
      </c>
      <c r="M320" s="1" t="str">
        <f t="shared" si="1"/>
        <v>Middle Aged (31-54)</v>
      </c>
      <c r="N320" s="1" t="s">
        <v>20</v>
      </c>
    </row>
    <row r="321" ht="13.5" customHeight="1">
      <c r="A321" s="1">
        <v>11386.0</v>
      </c>
      <c r="B321" s="10" t="s">
        <v>48</v>
      </c>
      <c r="C321" s="10" t="s">
        <v>49</v>
      </c>
      <c r="D321" s="1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tr">
        <f t="shared" si="1"/>
        <v>Middle Aged (31-54)</v>
      </c>
      <c r="N321" s="1" t="s">
        <v>20</v>
      </c>
    </row>
    <row r="322" ht="13.5" customHeight="1">
      <c r="A322" s="1">
        <v>20228.0</v>
      </c>
      <c r="B322" s="10" t="s">
        <v>48</v>
      </c>
      <c r="C322" s="10" t="s">
        <v>50</v>
      </c>
      <c r="D322" s="1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tr">
        <f t="shared" si="1"/>
        <v>Middle Aged (31-54)</v>
      </c>
      <c r="N322" s="1" t="s">
        <v>17</v>
      </c>
    </row>
    <row r="323" ht="13.5" customHeight="1">
      <c r="A323" s="1">
        <v>16675.0</v>
      </c>
      <c r="B323" s="10" t="s">
        <v>51</v>
      </c>
      <c r="C323" s="10" t="s">
        <v>49</v>
      </c>
      <c r="D323" s="1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tr">
        <f t="shared" si="1"/>
        <v>Middle Aged (31-54)</v>
      </c>
      <c r="N323" s="1" t="s">
        <v>17</v>
      </c>
    </row>
    <row r="324" ht="13.5" customHeight="1">
      <c r="A324" s="1">
        <v>16410.0</v>
      </c>
      <c r="B324" s="10" t="s">
        <v>51</v>
      </c>
      <c r="C324" s="10" t="s">
        <v>49</v>
      </c>
      <c r="D324" s="1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tr">
        <f t="shared" si="1"/>
        <v>Middle Aged (31-54)</v>
      </c>
      <c r="N324" s="1" t="s">
        <v>17</v>
      </c>
    </row>
    <row r="325" ht="13.5" customHeight="1">
      <c r="A325" s="1">
        <v>27760.0</v>
      </c>
      <c r="B325" s="10" t="s">
        <v>51</v>
      </c>
      <c r="C325" s="10" t="s">
        <v>49</v>
      </c>
      <c r="D325" s="1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tr">
        <f t="shared" si="1"/>
        <v>Middle Aged (31-54)</v>
      </c>
      <c r="N325" s="1" t="s">
        <v>17</v>
      </c>
    </row>
    <row r="326" ht="13.5" customHeight="1">
      <c r="A326" s="1">
        <v>22930.0</v>
      </c>
      <c r="B326" s="10" t="s">
        <v>48</v>
      </c>
      <c r="C326" s="10" t="s">
        <v>50</v>
      </c>
      <c r="D326" s="1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tr">
        <f t="shared" si="1"/>
        <v>Middle Aged (31-54)</v>
      </c>
      <c r="N326" s="1" t="s">
        <v>17</v>
      </c>
    </row>
    <row r="327" ht="13.5" customHeight="1">
      <c r="A327" s="1">
        <v>23780.0</v>
      </c>
      <c r="B327" s="10" t="s">
        <v>51</v>
      </c>
      <c r="C327" s="10" t="s">
        <v>50</v>
      </c>
      <c r="D327" s="1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tr">
        <f t="shared" si="1"/>
        <v>Middle Aged (31-54)</v>
      </c>
      <c r="N327" s="1" t="s">
        <v>17</v>
      </c>
    </row>
    <row r="328" ht="13.5" customHeight="1">
      <c r="A328" s="1">
        <v>20994.0</v>
      </c>
      <c r="B328" s="10" t="s">
        <v>48</v>
      </c>
      <c r="C328" s="10" t="s">
        <v>49</v>
      </c>
      <c r="D328" s="1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tr">
        <f t="shared" si="1"/>
        <v>Adolescent (0-30)</v>
      </c>
      <c r="N328" s="1" t="s">
        <v>17</v>
      </c>
    </row>
    <row r="329" ht="13.5" customHeight="1">
      <c r="A329" s="1">
        <v>28379.0</v>
      </c>
      <c r="B329" s="10" t="s">
        <v>48</v>
      </c>
      <c r="C329" s="10" t="s">
        <v>50</v>
      </c>
      <c r="D329" s="1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tr">
        <f t="shared" si="1"/>
        <v>Middle Aged (31-54)</v>
      </c>
      <c r="N329" s="1" t="s">
        <v>20</v>
      </c>
    </row>
    <row r="330" ht="13.5" customHeight="1">
      <c r="A330" s="1">
        <v>14865.0</v>
      </c>
      <c r="B330" s="10" t="s">
        <v>51</v>
      </c>
      <c r="C330" s="10" t="s">
        <v>50</v>
      </c>
      <c r="D330" s="1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tr">
        <f t="shared" si="1"/>
        <v>Middle Aged (31-54)</v>
      </c>
      <c r="N330" s="1" t="s">
        <v>20</v>
      </c>
    </row>
    <row r="331" ht="13.5" customHeight="1">
      <c r="A331" s="1">
        <v>12663.0</v>
      </c>
      <c r="B331" s="10" t="s">
        <v>48</v>
      </c>
      <c r="C331" s="10" t="s">
        <v>49</v>
      </c>
      <c r="D331" s="1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0" t="s">
        <v>52</v>
      </c>
      <c r="K331" s="1" t="s">
        <v>19</v>
      </c>
      <c r="L331" s="1">
        <v>59.0</v>
      </c>
      <c r="M331" s="1" t="str">
        <f t="shared" si="1"/>
        <v>Old (54+)</v>
      </c>
      <c r="N331" s="1" t="s">
        <v>20</v>
      </c>
    </row>
    <row r="332" ht="13.5" customHeight="1">
      <c r="A332" s="1">
        <v>24898.0</v>
      </c>
      <c r="B332" s="10" t="s">
        <v>51</v>
      </c>
      <c r="C332" s="10" t="s">
        <v>49</v>
      </c>
      <c r="D332" s="1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0" t="s">
        <v>52</v>
      </c>
      <c r="K332" s="1" t="s">
        <v>27</v>
      </c>
      <c r="L332" s="1">
        <v>32.0</v>
      </c>
      <c r="M332" s="1" t="str">
        <f t="shared" si="1"/>
        <v>Middle Aged (31-54)</v>
      </c>
      <c r="N332" s="1" t="s">
        <v>20</v>
      </c>
    </row>
    <row r="333" ht="13.5" customHeight="1">
      <c r="A333" s="1">
        <v>19508.0</v>
      </c>
      <c r="B333" s="10" t="s">
        <v>48</v>
      </c>
      <c r="C333" s="10" t="s">
        <v>50</v>
      </c>
      <c r="D333" s="1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tr">
        <f t="shared" si="1"/>
        <v>Adolescent (0-30)</v>
      </c>
      <c r="N333" s="1" t="s">
        <v>20</v>
      </c>
    </row>
    <row r="334" ht="13.5" customHeight="1">
      <c r="A334" s="1">
        <v>11489.0</v>
      </c>
      <c r="B334" s="10" t="s">
        <v>51</v>
      </c>
      <c r="C334" s="10" t="s">
        <v>49</v>
      </c>
      <c r="D334" s="1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tr">
        <f t="shared" si="1"/>
        <v>Middle Aged (31-54)</v>
      </c>
      <c r="N334" s="1" t="s">
        <v>17</v>
      </c>
    </row>
    <row r="335" ht="13.5" customHeight="1">
      <c r="A335" s="1">
        <v>18160.0</v>
      </c>
      <c r="B335" s="10" t="s">
        <v>48</v>
      </c>
      <c r="C335" s="10" t="s">
        <v>50</v>
      </c>
      <c r="D335" s="1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tr">
        <f t="shared" si="1"/>
        <v>Middle Aged (31-54)</v>
      </c>
      <c r="N335" s="1" t="s">
        <v>17</v>
      </c>
    </row>
    <row r="336" ht="13.5" customHeight="1">
      <c r="A336" s="1">
        <v>25241.0</v>
      </c>
      <c r="B336" s="10" t="s">
        <v>48</v>
      </c>
      <c r="C336" s="10" t="s">
        <v>50</v>
      </c>
      <c r="D336" s="1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tr">
        <f t="shared" si="1"/>
        <v>Middle Aged (31-54)</v>
      </c>
      <c r="N336" s="1" t="s">
        <v>20</v>
      </c>
    </row>
    <row r="337" ht="13.5" customHeight="1">
      <c r="A337" s="1">
        <v>24369.0</v>
      </c>
      <c r="B337" s="10" t="s">
        <v>48</v>
      </c>
      <c r="C337" s="10" t="s">
        <v>50</v>
      </c>
      <c r="D337" s="1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tr">
        <f t="shared" si="1"/>
        <v>Middle Aged (31-54)</v>
      </c>
      <c r="N337" s="1" t="s">
        <v>20</v>
      </c>
    </row>
    <row r="338" ht="13.5" customHeight="1">
      <c r="A338" s="1">
        <v>27165.0</v>
      </c>
      <c r="B338" s="10" t="s">
        <v>51</v>
      </c>
      <c r="C338" s="10" t="s">
        <v>50</v>
      </c>
      <c r="D338" s="1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tr">
        <f t="shared" si="1"/>
        <v>Middle Aged (31-54)</v>
      </c>
      <c r="N338" s="1" t="s">
        <v>20</v>
      </c>
    </row>
    <row r="339" ht="13.5" customHeight="1">
      <c r="A339" s="1">
        <v>29424.0</v>
      </c>
      <c r="B339" s="10" t="s">
        <v>48</v>
      </c>
      <c r="C339" s="10" t="s">
        <v>50</v>
      </c>
      <c r="D339" s="1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tr">
        <f t="shared" si="1"/>
        <v>Middle Aged (31-54)</v>
      </c>
      <c r="N339" s="1" t="s">
        <v>20</v>
      </c>
    </row>
    <row r="340" ht="13.5" customHeight="1">
      <c r="A340" s="1">
        <v>15926.0</v>
      </c>
      <c r="B340" s="10" t="s">
        <v>51</v>
      </c>
      <c r="C340" s="10" t="s">
        <v>49</v>
      </c>
      <c r="D340" s="1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tr">
        <f t="shared" si="1"/>
        <v>Middle Aged (31-54)</v>
      </c>
      <c r="N340" s="1" t="s">
        <v>17</v>
      </c>
    </row>
    <row r="341" ht="13.5" customHeight="1">
      <c r="A341" s="1">
        <v>14554.0</v>
      </c>
      <c r="B341" s="10" t="s">
        <v>48</v>
      </c>
      <c r="C341" s="10" t="s">
        <v>50</v>
      </c>
      <c r="D341" s="1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tr">
        <f t="shared" si="1"/>
        <v>Old (54+)</v>
      </c>
      <c r="N341" s="1" t="s">
        <v>20</v>
      </c>
    </row>
    <row r="342" ht="13.5" customHeight="1">
      <c r="A342" s="1">
        <v>16468.0</v>
      </c>
      <c r="B342" s="10" t="s">
        <v>51</v>
      </c>
      <c r="C342" s="10" t="s">
        <v>50</v>
      </c>
      <c r="D342" s="1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tr">
        <f t="shared" si="1"/>
        <v>Adolescent (0-30)</v>
      </c>
      <c r="N342" s="1" t="s">
        <v>20</v>
      </c>
    </row>
    <row r="343" ht="13.5" customHeight="1">
      <c r="A343" s="1">
        <v>19174.0</v>
      </c>
      <c r="B343" s="10" t="s">
        <v>51</v>
      </c>
      <c r="C343" s="10" t="s">
        <v>49</v>
      </c>
      <c r="D343" s="1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tr">
        <f t="shared" si="1"/>
        <v>Middle Aged (31-54)</v>
      </c>
      <c r="N343" s="1" t="s">
        <v>17</v>
      </c>
    </row>
    <row r="344" ht="13.5" customHeight="1">
      <c r="A344" s="1">
        <v>19183.0</v>
      </c>
      <c r="B344" s="10" t="s">
        <v>51</v>
      </c>
      <c r="C344" s="10" t="s">
        <v>50</v>
      </c>
      <c r="D344" s="1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tr">
        <f t="shared" si="1"/>
        <v>Middle Aged (31-54)</v>
      </c>
      <c r="N344" s="1" t="s">
        <v>20</v>
      </c>
    </row>
    <row r="345" ht="13.5" customHeight="1">
      <c r="A345" s="1">
        <v>13683.0</v>
      </c>
      <c r="B345" s="10" t="s">
        <v>51</v>
      </c>
      <c r="C345" s="10" t="s">
        <v>49</v>
      </c>
      <c r="D345" s="1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tr">
        <f t="shared" si="1"/>
        <v>Middle Aged (31-54)</v>
      </c>
      <c r="N345" s="1" t="s">
        <v>20</v>
      </c>
    </row>
    <row r="346" ht="13.5" customHeight="1">
      <c r="A346" s="1">
        <v>17848.0</v>
      </c>
      <c r="B346" s="10" t="s">
        <v>51</v>
      </c>
      <c r="C346" s="10" t="s">
        <v>50</v>
      </c>
      <c r="D346" s="1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tr">
        <f t="shared" si="1"/>
        <v>Middle Aged (31-54)</v>
      </c>
      <c r="N346" s="1" t="s">
        <v>17</v>
      </c>
    </row>
    <row r="347" ht="13.5" customHeight="1">
      <c r="A347" s="1">
        <v>17894.0</v>
      </c>
      <c r="B347" s="10" t="s">
        <v>48</v>
      </c>
      <c r="C347" s="10" t="s">
        <v>49</v>
      </c>
      <c r="D347" s="1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tr">
        <f t="shared" si="1"/>
        <v>Middle Aged (31-54)</v>
      </c>
      <c r="N347" s="1" t="s">
        <v>17</v>
      </c>
    </row>
    <row r="348" ht="13.5" customHeight="1">
      <c r="A348" s="1">
        <v>25651.0</v>
      </c>
      <c r="B348" s="10" t="s">
        <v>48</v>
      </c>
      <c r="C348" s="10" t="s">
        <v>50</v>
      </c>
      <c r="D348" s="1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tr">
        <f t="shared" si="1"/>
        <v>Middle Aged (31-54)</v>
      </c>
      <c r="N348" s="1" t="s">
        <v>17</v>
      </c>
    </row>
    <row r="349" ht="13.5" customHeight="1">
      <c r="A349" s="1">
        <v>22936.0</v>
      </c>
      <c r="B349" s="10" t="s">
        <v>51</v>
      </c>
      <c r="C349" s="10" t="s">
        <v>49</v>
      </c>
      <c r="D349" s="1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tr">
        <f t="shared" si="1"/>
        <v>Middle Aged (31-54)</v>
      </c>
      <c r="N349" s="1" t="s">
        <v>17</v>
      </c>
    </row>
    <row r="350" ht="13.5" customHeight="1">
      <c r="A350" s="1">
        <v>23915.0</v>
      </c>
      <c r="B350" s="10" t="s">
        <v>48</v>
      </c>
      <c r="C350" s="10" t="s">
        <v>50</v>
      </c>
      <c r="D350" s="1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tr">
        <f t="shared" si="1"/>
        <v>Middle Aged (31-54)</v>
      </c>
      <c r="N350" s="1" t="s">
        <v>20</v>
      </c>
    </row>
    <row r="351" ht="13.5" customHeight="1">
      <c r="A351" s="1">
        <v>24121.0</v>
      </c>
      <c r="B351" s="10" t="s">
        <v>51</v>
      </c>
      <c r="C351" s="10" t="s">
        <v>49</v>
      </c>
      <c r="D351" s="1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tr">
        <f t="shared" si="1"/>
        <v>Adolescent (0-30)</v>
      </c>
      <c r="N351" s="1" t="s">
        <v>17</v>
      </c>
    </row>
    <row r="352" ht="13.5" customHeight="1">
      <c r="A352" s="1">
        <v>27878.0</v>
      </c>
      <c r="B352" s="10" t="s">
        <v>51</v>
      </c>
      <c r="C352" s="10" t="s">
        <v>50</v>
      </c>
      <c r="D352" s="1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tr">
        <f t="shared" si="1"/>
        <v>Adolescent (0-30)</v>
      </c>
      <c r="N352" s="1" t="s">
        <v>17</v>
      </c>
    </row>
    <row r="353" ht="13.5" customHeight="1">
      <c r="A353" s="1">
        <v>13572.0</v>
      </c>
      <c r="B353" s="10" t="s">
        <v>51</v>
      </c>
      <c r="C353" s="10" t="s">
        <v>50</v>
      </c>
      <c r="D353" s="1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tr">
        <f t="shared" si="1"/>
        <v>Middle Aged (31-54)</v>
      </c>
      <c r="N353" s="1" t="s">
        <v>17</v>
      </c>
    </row>
    <row r="354" ht="13.5" customHeight="1">
      <c r="A354" s="1">
        <v>27941.0</v>
      </c>
      <c r="B354" s="10" t="s">
        <v>48</v>
      </c>
      <c r="C354" s="10" t="s">
        <v>49</v>
      </c>
      <c r="D354" s="1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tr">
        <f t="shared" si="1"/>
        <v>Middle Aged (31-54)</v>
      </c>
      <c r="N354" s="1" t="s">
        <v>20</v>
      </c>
    </row>
    <row r="355" ht="13.5" customHeight="1">
      <c r="A355" s="1">
        <v>26354.0</v>
      </c>
      <c r="B355" s="10" t="s">
        <v>51</v>
      </c>
      <c r="C355" s="10" t="s">
        <v>50</v>
      </c>
      <c r="D355" s="1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tr">
        <f t="shared" si="1"/>
        <v>Middle Aged (31-54)</v>
      </c>
      <c r="N355" s="1" t="s">
        <v>17</v>
      </c>
    </row>
    <row r="356" ht="13.5" customHeight="1">
      <c r="A356" s="1">
        <v>14785.0</v>
      </c>
      <c r="B356" s="10" t="s">
        <v>51</v>
      </c>
      <c r="C356" s="10" t="s">
        <v>50</v>
      </c>
      <c r="D356" s="1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tr">
        <f t="shared" si="1"/>
        <v>Middle Aged (31-54)</v>
      </c>
      <c r="N356" s="1" t="s">
        <v>20</v>
      </c>
    </row>
    <row r="357" ht="13.5" customHeight="1">
      <c r="A357" s="1">
        <v>17238.0</v>
      </c>
      <c r="B357" s="10" t="s">
        <v>51</v>
      </c>
      <c r="C357" s="10" t="s">
        <v>50</v>
      </c>
      <c r="D357" s="1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0" t="s">
        <v>52</v>
      </c>
      <c r="K357" s="1" t="s">
        <v>27</v>
      </c>
      <c r="L357" s="1">
        <v>32.0</v>
      </c>
      <c r="M357" s="1" t="str">
        <f t="shared" si="1"/>
        <v>Middle Aged (31-54)</v>
      </c>
      <c r="N357" s="1" t="s">
        <v>20</v>
      </c>
    </row>
    <row r="358" ht="13.5" customHeight="1">
      <c r="A358" s="1">
        <v>23608.0</v>
      </c>
      <c r="B358" s="10" t="s">
        <v>48</v>
      </c>
      <c r="C358" s="10" t="s">
        <v>49</v>
      </c>
      <c r="D358" s="1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tr">
        <f t="shared" si="1"/>
        <v>Middle Aged (31-54)</v>
      </c>
      <c r="N358" s="1" t="s">
        <v>17</v>
      </c>
    </row>
    <row r="359" ht="13.5" customHeight="1">
      <c r="A359" s="1">
        <v>22538.0</v>
      </c>
      <c r="B359" s="10" t="s">
        <v>51</v>
      </c>
      <c r="C359" s="10" t="s">
        <v>49</v>
      </c>
      <c r="D359" s="1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tr">
        <f t="shared" si="1"/>
        <v>Middle Aged (31-54)</v>
      </c>
      <c r="N359" s="1" t="s">
        <v>20</v>
      </c>
    </row>
    <row r="360" ht="13.5" customHeight="1">
      <c r="A360" s="1">
        <v>12332.0</v>
      </c>
      <c r="B360" s="10" t="s">
        <v>48</v>
      </c>
      <c r="C360" s="10" t="s">
        <v>50</v>
      </c>
      <c r="D360" s="1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tr">
        <f t="shared" si="1"/>
        <v>Old (54+)</v>
      </c>
      <c r="N360" s="1" t="s">
        <v>17</v>
      </c>
    </row>
    <row r="361" ht="13.5" customHeight="1">
      <c r="A361" s="1">
        <v>17230.0</v>
      </c>
      <c r="B361" s="10" t="s">
        <v>48</v>
      </c>
      <c r="C361" s="10" t="s">
        <v>50</v>
      </c>
      <c r="D361" s="1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0" t="s">
        <v>52</v>
      </c>
      <c r="K361" s="1" t="s">
        <v>27</v>
      </c>
      <c r="L361" s="1">
        <v>30.0</v>
      </c>
      <c r="M361" s="1" t="str">
        <f t="shared" si="1"/>
        <v>Adolescent (0-30)</v>
      </c>
      <c r="N361" s="1" t="s">
        <v>20</v>
      </c>
    </row>
    <row r="362" ht="13.5" customHeight="1">
      <c r="A362" s="1">
        <v>13082.0</v>
      </c>
      <c r="B362" s="10" t="s">
        <v>51</v>
      </c>
      <c r="C362" s="10" t="s">
        <v>50</v>
      </c>
      <c r="D362" s="1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tr">
        <f t="shared" si="1"/>
        <v>Middle Aged (31-54)</v>
      </c>
      <c r="N362" s="1" t="s">
        <v>17</v>
      </c>
    </row>
    <row r="363" ht="13.5" customHeight="1">
      <c r="A363" s="1">
        <v>22518.0</v>
      </c>
      <c r="B363" s="10" t="s">
        <v>51</v>
      </c>
      <c r="C363" s="10" t="s">
        <v>49</v>
      </c>
      <c r="D363" s="1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tr">
        <f t="shared" si="1"/>
        <v>Adolescent (0-30)</v>
      </c>
      <c r="N363" s="1" t="s">
        <v>17</v>
      </c>
    </row>
    <row r="364" ht="13.5" customHeight="1">
      <c r="A364" s="1">
        <v>13687.0</v>
      </c>
      <c r="B364" s="10" t="s">
        <v>48</v>
      </c>
      <c r="C364" s="10" t="s">
        <v>50</v>
      </c>
      <c r="D364" s="1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tr">
        <f t="shared" si="1"/>
        <v>Middle Aged (31-54)</v>
      </c>
      <c r="N364" s="1" t="s">
        <v>17</v>
      </c>
    </row>
    <row r="365" ht="13.5" customHeight="1">
      <c r="A365" s="1">
        <v>23571.0</v>
      </c>
      <c r="B365" s="10" t="s">
        <v>48</v>
      </c>
      <c r="C365" s="10" t="s">
        <v>49</v>
      </c>
      <c r="D365" s="1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tr">
        <f t="shared" si="1"/>
        <v>Old (54+)</v>
      </c>
      <c r="N365" s="1" t="s">
        <v>17</v>
      </c>
    </row>
    <row r="366" ht="13.5" customHeight="1">
      <c r="A366" s="1">
        <v>19305.0</v>
      </c>
      <c r="B366" s="10" t="s">
        <v>51</v>
      </c>
      <c r="C366" s="10" t="s">
        <v>49</v>
      </c>
      <c r="D366" s="1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tr">
        <f t="shared" si="1"/>
        <v>Middle Aged (31-54)</v>
      </c>
      <c r="N366" s="1" t="s">
        <v>17</v>
      </c>
    </row>
    <row r="367" ht="13.5" customHeight="1">
      <c r="A367" s="1">
        <v>22636.0</v>
      </c>
      <c r="B367" s="10" t="s">
        <v>51</v>
      </c>
      <c r="C367" s="10" t="s">
        <v>49</v>
      </c>
      <c r="D367" s="1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tr">
        <f t="shared" si="1"/>
        <v>Middle Aged (31-54)</v>
      </c>
      <c r="N367" s="1" t="s">
        <v>17</v>
      </c>
    </row>
    <row r="368" ht="13.5" customHeight="1">
      <c r="A368" s="1">
        <v>17310.0</v>
      </c>
      <c r="B368" s="10" t="s">
        <v>48</v>
      </c>
      <c r="C368" s="10" t="s">
        <v>50</v>
      </c>
      <c r="D368" s="1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tr">
        <f t="shared" si="1"/>
        <v>Middle Aged (31-54)</v>
      </c>
      <c r="N368" s="1" t="s">
        <v>17</v>
      </c>
    </row>
    <row r="369" ht="13.5" customHeight="1">
      <c r="A369" s="1">
        <v>12133.0</v>
      </c>
      <c r="B369" s="10" t="s">
        <v>48</v>
      </c>
      <c r="C369" s="10" t="s">
        <v>49</v>
      </c>
      <c r="D369" s="1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tr">
        <f t="shared" si="1"/>
        <v>Middle Aged (31-54)</v>
      </c>
      <c r="N369" s="1" t="s">
        <v>17</v>
      </c>
    </row>
    <row r="370" ht="13.5" customHeight="1">
      <c r="A370" s="1">
        <v>25918.0</v>
      </c>
      <c r="B370" s="10" t="s">
        <v>51</v>
      </c>
      <c r="C370" s="10" t="s">
        <v>49</v>
      </c>
      <c r="D370" s="1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tr">
        <f t="shared" si="1"/>
        <v>Old (54+)</v>
      </c>
      <c r="N370" s="1" t="s">
        <v>17</v>
      </c>
    </row>
    <row r="371" ht="13.5" customHeight="1">
      <c r="A371" s="1">
        <v>25752.0</v>
      </c>
      <c r="B371" s="10" t="s">
        <v>51</v>
      </c>
      <c r="C371" s="10" t="s">
        <v>49</v>
      </c>
      <c r="D371" s="1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tr">
        <f t="shared" si="1"/>
        <v>Middle Aged (31-54)</v>
      </c>
      <c r="N371" s="1" t="s">
        <v>17</v>
      </c>
    </row>
    <row r="372" ht="13.5" customHeight="1">
      <c r="A372" s="1">
        <v>17324.0</v>
      </c>
      <c r="B372" s="10" t="s">
        <v>48</v>
      </c>
      <c r="C372" s="10" t="s">
        <v>49</v>
      </c>
      <c r="D372" s="1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0" t="s">
        <v>52</v>
      </c>
      <c r="K372" s="1" t="s">
        <v>27</v>
      </c>
      <c r="L372" s="1">
        <v>46.0</v>
      </c>
      <c r="M372" s="1" t="str">
        <f t="shared" si="1"/>
        <v>Middle Aged (31-54)</v>
      </c>
      <c r="N372" s="1" t="s">
        <v>20</v>
      </c>
    </row>
    <row r="373" ht="13.5" customHeight="1">
      <c r="A373" s="1">
        <v>22918.0</v>
      </c>
      <c r="B373" s="10" t="s">
        <v>51</v>
      </c>
      <c r="C373" s="10" t="s">
        <v>50</v>
      </c>
      <c r="D373" s="1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tr">
        <f t="shared" si="1"/>
        <v>Middle Aged (31-54)</v>
      </c>
      <c r="N373" s="1" t="s">
        <v>20</v>
      </c>
    </row>
    <row r="374" ht="13.5" customHeight="1">
      <c r="A374" s="1">
        <v>12510.0</v>
      </c>
      <c r="B374" s="10" t="s">
        <v>48</v>
      </c>
      <c r="C374" s="10" t="s">
        <v>50</v>
      </c>
      <c r="D374" s="1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tr">
        <f t="shared" si="1"/>
        <v>Middle Aged (31-54)</v>
      </c>
      <c r="N374" s="1" t="s">
        <v>17</v>
      </c>
    </row>
    <row r="375" ht="13.5" customHeight="1">
      <c r="A375" s="1">
        <v>25512.0</v>
      </c>
      <c r="B375" s="10" t="s">
        <v>51</v>
      </c>
      <c r="C375" s="10" t="s">
        <v>50</v>
      </c>
      <c r="D375" s="1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tr">
        <f t="shared" si="1"/>
        <v>Adolescent (0-30)</v>
      </c>
      <c r="N375" s="1" t="s">
        <v>20</v>
      </c>
    </row>
    <row r="376" ht="13.5" customHeight="1">
      <c r="A376" s="1">
        <v>16179.0</v>
      </c>
      <c r="B376" s="10" t="s">
        <v>51</v>
      </c>
      <c r="C376" s="10" t="s">
        <v>49</v>
      </c>
      <c r="D376" s="1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tr">
        <f t="shared" si="1"/>
        <v>Middle Aged (31-54)</v>
      </c>
      <c r="N376" s="1" t="s">
        <v>20</v>
      </c>
    </row>
    <row r="377" ht="13.5" customHeight="1">
      <c r="A377" s="1">
        <v>15628.0</v>
      </c>
      <c r="B377" s="10" t="s">
        <v>48</v>
      </c>
      <c r="C377" s="10" t="s">
        <v>49</v>
      </c>
      <c r="D377" s="1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tr">
        <f t="shared" si="1"/>
        <v>Old (54+)</v>
      </c>
      <c r="N377" s="1" t="s">
        <v>20</v>
      </c>
    </row>
    <row r="378" ht="13.5" customHeight="1">
      <c r="A378" s="1">
        <v>20977.0</v>
      </c>
      <c r="B378" s="10" t="s">
        <v>48</v>
      </c>
      <c r="C378" s="10" t="s">
        <v>50</v>
      </c>
      <c r="D378" s="1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tr">
        <f t="shared" si="1"/>
        <v>Old (54+)</v>
      </c>
      <c r="N378" s="1" t="s">
        <v>17</v>
      </c>
    </row>
    <row r="379" ht="13.5" customHeight="1">
      <c r="A379" s="1">
        <v>18140.0</v>
      </c>
      <c r="B379" s="10" t="s">
        <v>48</v>
      </c>
      <c r="C379" s="10" t="s">
        <v>50</v>
      </c>
      <c r="D379" s="1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tr">
        <f t="shared" si="1"/>
        <v>Middle Aged (31-54)</v>
      </c>
      <c r="N379" s="1" t="s">
        <v>17</v>
      </c>
    </row>
    <row r="380" ht="13.5" customHeight="1">
      <c r="A380" s="1">
        <v>20417.0</v>
      </c>
      <c r="B380" s="10" t="s">
        <v>48</v>
      </c>
      <c r="C380" s="10" t="s">
        <v>50</v>
      </c>
      <c r="D380" s="1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tr">
        <f t="shared" si="1"/>
        <v>Old (54+)</v>
      </c>
      <c r="N380" s="1" t="s">
        <v>20</v>
      </c>
    </row>
    <row r="381" ht="13.5" customHeight="1">
      <c r="A381" s="1">
        <v>18267.0</v>
      </c>
      <c r="B381" s="10" t="s">
        <v>48</v>
      </c>
      <c r="C381" s="10" t="s">
        <v>50</v>
      </c>
      <c r="D381" s="1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tr">
        <f t="shared" si="1"/>
        <v>Middle Aged (31-54)</v>
      </c>
      <c r="N381" s="1" t="s">
        <v>20</v>
      </c>
    </row>
    <row r="382" ht="13.5" customHeight="1">
      <c r="A382" s="1">
        <v>13620.0</v>
      </c>
      <c r="B382" s="10" t="s">
        <v>51</v>
      </c>
      <c r="C382" s="10" t="s">
        <v>50</v>
      </c>
      <c r="D382" s="1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0" t="s">
        <v>52</v>
      </c>
      <c r="K382" s="1" t="s">
        <v>27</v>
      </c>
      <c r="L382" s="1">
        <v>30.0</v>
      </c>
      <c r="M382" s="1" t="str">
        <f t="shared" si="1"/>
        <v>Adolescent (0-30)</v>
      </c>
      <c r="N382" s="1" t="s">
        <v>17</v>
      </c>
    </row>
    <row r="383" ht="13.5" customHeight="1">
      <c r="A383" s="1">
        <v>22974.0</v>
      </c>
      <c r="B383" s="10" t="s">
        <v>48</v>
      </c>
      <c r="C383" s="10" t="s">
        <v>49</v>
      </c>
      <c r="D383" s="1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tr">
        <f t="shared" si="1"/>
        <v>Old (54+)</v>
      </c>
      <c r="N383" s="1" t="s">
        <v>20</v>
      </c>
    </row>
    <row r="384" ht="13.5" customHeight="1">
      <c r="A384" s="1">
        <v>13586.0</v>
      </c>
      <c r="B384" s="10" t="s">
        <v>48</v>
      </c>
      <c r="C384" s="10" t="s">
        <v>50</v>
      </c>
      <c r="D384" s="1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0" t="s">
        <v>52</v>
      </c>
      <c r="K384" s="1" t="s">
        <v>19</v>
      </c>
      <c r="L384" s="1">
        <v>53.0</v>
      </c>
      <c r="M384" s="1" t="str">
        <f t="shared" si="1"/>
        <v>Middle Aged (31-54)</v>
      </c>
      <c r="N384" s="1" t="s">
        <v>20</v>
      </c>
    </row>
    <row r="385" ht="13.5" customHeight="1">
      <c r="A385" s="1">
        <v>17978.0</v>
      </c>
      <c r="B385" s="10" t="s">
        <v>48</v>
      </c>
      <c r="C385" s="10" t="s">
        <v>50</v>
      </c>
      <c r="D385" s="1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tr">
        <f t="shared" si="1"/>
        <v>Middle Aged (31-54)</v>
      </c>
      <c r="N385" s="1" t="s">
        <v>17</v>
      </c>
    </row>
    <row r="386" ht="13.5" customHeight="1">
      <c r="A386" s="1">
        <v>12581.0</v>
      </c>
      <c r="B386" s="10" t="s">
        <v>51</v>
      </c>
      <c r="C386" s="10" t="s">
        <v>49</v>
      </c>
      <c r="D386" s="1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tr">
        <f t="shared" si="1"/>
        <v>Adolescent (0-30)</v>
      </c>
      <c r="N386" s="1" t="s">
        <v>17</v>
      </c>
    </row>
    <row r="387" ht="13.5" customHeight="1">
      <c r="A387" s="1">
        <v>18018.0</v>
      </c>
      <c r="B387" s="10" t="s">
        <v>51</v>
      </c>
      <c r="C387" s="10" t="s">
        <v>50</v>
      </c>
      <c r="D387" s="1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tr">
        <f t="shared" si="1"/>
        <v>Middle Aged (31-54)</v>
      </c>
      <c r="N387" s="1" t="s">
        <v>20</v>
      </c>
    </row>
    <row r="388" ht="13.5" customHeight="1">
      <c r="A388" s="1">
        <v>28957.0</v>
      </c>
      <c r="B388" s="10" t="s">
        <v>51</v>
      </c>
      <c r="C388" s="10" t="s">
        <v>49</v>
      </c>
      <c r="D388" s="1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0" t="s">
        <v>52</v>
      </c>
      <c r="K388" s="1" t="s">
        <v>27</v>
      </c>
      <c r="L388" s="1">
        <v>34.0</v>
      </c>
      <c r="M388" s="1" t="str">
        <f t="shared" si="1"/>
        <v>Middle Aged (31-54)</v>
      </c>
      <c r="N388" s="1" t="s">
        <v>17</v>
      </c>
    </row>
    <row r="389" ht="13.5" customHeight="1">
      <c r="A389" s="1">
        <v>13690.0</v>
      </c>
      <c r="B389" s="10" t="s">
        <v>51</v>
      </c>
      <c r="C389" s="10" t="s">
        <v>49</v>
      </c>
      <c r="D389" s="1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tr">
        <f t="shared" si="1"/>
        <v>Middle Aged (31-54)</v>
      </c>
      <c r="N389" s="1" t="s">
        <v>17</v>
      </c>
    </row>
    <row r="390" ht="13.5" customHeight="1">
      <c r="A390" s="1">
        <v>12568.0</v>
      </c>
      <c r="B390" s="10" t="s">
        <v>48</v>
      </c>
      <c r="C390" s="10" t="s">
        <v>49</v>
      </c>
      <c r="D390" s="1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tr">
        <f t="shared" si="1"/>
        <v>Old (54+)</v>
      </c>
      <c r="N390" s="1" t="s">
        <v>20</v>
      </c>
    </row>
    <row r="391" ht="13.5" customHeight="1">
      <c r="A391" s="1">
        <v>13122.0</v>
      </c>
      <c r="B391" s="10" t="s">
        <v>48</v>
      </c>
      <c r="C391" s="10" t="s">
        <v>49</v>
      </c>
      <c r="D391" s="1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tr">
        <f t="shared" si="1"/>
        <v>Middle Aged (31-54)</v>
      </c>
      <c r="N391" s="1" t="s">
        <v>17</v>
      </c>
    </row>
    <row r="392" ht="13.5" customHeight="1">
      <c r="A392" s="1">
        <v>21184.0</v>
      </c>
      <c r="B392" s="10" t="s">
        <v>51</v>
      </c>
      <c r="C392" s="10" t="s">
        <v>50</v>
      </c>
      <c r="D392" s="1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tr">
        <f t="shared" si="1"/>
        <v>Middle Aged (31-54)</v>
      </c>
      <c r="N392" s="1" t="s">
        <v>20</v>
      </c>
    </row>
    <row r="393" ht="13.5" customHeight="1">
      <c r="A393" s="1">
        <v>26150.0</v>
      </c>
      <c r="B393" s="10" t="s">
        <v>51</v>
      </c>
      <c r="C393" s="10" t="s">
        <v>49</v>
      </c>
      <c r="D393" s="1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tr">
        <f t="shared" si="1"/>
        <v>Middle Aged (31-54)</v>
      </c>
      <c r="N393" s="1" t="s">
        <v>17</v>
      </c>
    </row>
    <row r="394" ht="13.5" customHeight="1">
      <c r="A394" s="1">
        <v>24151.0</v>
      </c>
      <c r="B394" s="10" t="s">
        <v>51</v>
      </c>
      <c r="C394" s="10" t="s">
        <v>50</v>
      </c>
      <c r="D394" s="1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tr">
        <f t="shared" si="1"/>
        <v>Middle Aged (31-54)</v>
      </c>
      <c r="N394" s="1" t="s">
        <v>20</v>
      </c>
    </row>
    <row r="395" ht="13.5" customHeight="1">
      <c r="A395" s="1">
        <v>23962.0</v>
      </c>
      <c r="B395" s="10" t="s">
        <v>48</v>
      </c>
      <c r="C395" s="10" t="s">
        <v>49</v>
      </c>
      <c r="D395" s="1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tr">
        <f t="shared" si="1"/>
        <v>Middle Aged (31-54)</v>
      </c>
      <c r="N395" s="1" t="s">
        <v>20</v>
      </c>
    </row>
    <row r="396" ht="13.5" customHeight="1">
      <c r="A396" s="1">
        <v>17793.0</v>
      </c>
      <c r="B396" s="10" t="s">
        <v>48</v>
      </c>
      <c r="C396" s="10" t="s">
        <v>49</v>
      </c>
      <c r="D396" s="1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tr">
        <f t="shared" si="1"/>
        <v>Middle Aged (31-54)</v>
      </c>
      <c r="N396" s="1" t="s">
        <v>17</v>
      </c>
    </row>
    <row r="397" ht="13.5" customHeight="1">
      <c r="A397" s="1">
        <v>14926.0</v>
      </c>
      <c r="B397" s="10" t="s">
        <v>48</v>
      </c>
      <c r="C397" s="10" t="s">
        <v>50</v>
      </c>
      <c r="D397" s="1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tr">
        <f t="shared" si="1"/>
        <v>Middle Aged (31-54)</v>
      </c>
      <c r="N397" s="1" t="s">
        <v>17</v>
      </c>
    </row>
    <row r="398" ht="13.5" customHeight="1">
      <c r="A398" s="1">
        <v>16163.0</v>
      </c>
      <c r="B398" s="10" t="s">
        <v>51</v>
      </c>
      <c r="C398" s="10" t="s">
        <v>50</v>
      </c>
      <c r="D398" s="1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tr">
        <f t="shared" si="1"/>
        <v>Middle Aged (31-54)</v>
      </c>
      <c r="N398" s="1" t="s">
        <v>17</v>
      </c>
    </row>
    <row r="399" ht="13.5" customHeight="1">
      <c r="A399" s="1">
        <v>21365.0</v>
      </c>
      <c r="B399" s="10" t="s">
        <v>48</v>
      </c>
      <c r="C399" s="10" t="s">
        <v>49</v>
      </c>
      <c r="D399" s="1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tr">
        <f t="shared" si="1"/>
        <v>Old (54+)</v>
      </c>
      <c r="N399" s="1" t="s">
        <v>20</v>
      </c>
    </row>
    <row r="400" ht="13.5" customHeight="1">
      <c r="A400" s="1">
        <v>27771.0</v>
      </c>
      <c r="B400" s="10" t="s">
        <v>51</v>
      </c>
      <c r="C400" s="10" t="s">
        <v>50</v>
      </c>
      <c r="D400" s="1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tr">
        <f t="shared" si="1"/>
        <v>Middle Aged (31-54)</v>
      </c>
      <c r="N400" s="1" t="s">
        <v>17</v>
      </c>
    </row>
    <row r="401" ht="13.5" customHeight="1">
      <c r="A401" s="1">
        <v>26167.0</v>
      </c>
      <c r="B401" s="10" t="s">
        <v>51</v>
      </c>
      <c r="C401" s="10" t="s">
        <v>49</v>
      </c>
      <c r="D401" s="1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tr">
        <f t="shared" si="1"/>
        <v>Middle Aged (31-54)</v>
      </c>
      <c r="N401" s="1" t="s">
        <v>17</v>
      </c>
    </row>
    <row r="402" ht="13.5" customHeight="1">
      <c r="A402" s="1">
        <v>25792.0</v>
      </c>
      <c r="B402" s="10" t="s">
        <v>51</v>
      </c>
      <c r="C402" s="10" t="s">
        <v>49</v>
      </c>
      <c r="D402" s="1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0" t="s">
        <v>52</v>
      </c>
      <c r="K402" s="1" t="s">
        <v>19</v>
      </c>
      <c r="L402" s="1">
        <v>53.0</v>
      </c>
      <c r="M402" s="1" t="str">
        <f t="shared" si="1"/>
        <v>Middle Aged (31-54)</v>
      </c>
      <c r="N402" s="1" t="s">
        <v>20</v>
      </c>
    </row>
    <row r="403" ht="13.5" customHeight="1">
      <c r="A403" s="1">
        <v>11555.0</v>
      </c>
      <c r="B403" s="10" t="s">
        <v>48</v>
      </c>
      <c r="C403" s="10" t="s">
        <v>49</v>
      </c>
      <c r="D403" s="1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tr">
        <f t="shared" si="1"/>
        <v>Old (54+)</v>
      </c>
      <c r="N403" s="1" t="s">
        <v>20</v>
      </c>
    </row>
    <row r="404" ht="13.5" customHeight="1">
      <c r="A404" s="1">
        <v>22381.0</v>
      </c>
      <c r="B404" s="10" t="s">
        <v>48</v>
      </c>
      <c r="C404" s="10" t="s">
        <v>50</v>
      </c>
      <c r="D404" s="1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tr">
        <f t="shared" si="1"/>
        <v>Middle Aged (31-54)</v>
      </c>
      <c r="N404" s="1" t="s">
        <v>20</v>
      </c>
    </row>
    <row r="405" ht="13.5" customHeight="1">
      <c r="A405" s="1">
        <v>17882.0</v>
      </c>
      <c r="B405" s="10" t="s">
        <v>48</v>
      </c>
      <c r="C405" s="10" t="s">
        <v>50</v>
      </c>
      <c r="D405" s="1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tr">
        <f t="shared" si="1"/>
        <v>Middle Aged (31-54)</v>
      </c>
      <c r="N405" s="1" t="s">
        <v>20</v>
      </c>
    </row>
    <row r="406" ht="13.5" customHeight="1">
      <c r="A406" s="1">
        <v>22174.0</v>
      </c>
      <c r="B406" s="10" t="s">
        <v>48</v>
      </c>
      <c r="C406" s="10" t="s">
        <v>50</v>
      </c>
      <c r="D406" s="1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tr">
        <f t="shared" si="1"/>
        <v>Middle Aged (31-54)</v>
      </c>
      <c r="N406" s="1" t="s">
        <v>17</v>
      </c>
    </row>
    <row r="407" ht="13.5" customHeight="1">
      <c r="A407" s="1">
        <v>22439.0</v>
      </c>
      <c r="B407" s="10" t="s">
        <v>48</v>
      </c>
      <c r="C407" s="10" t="s">
        <v>49</v>
      </c>
      <c r="D407" s="1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tr">
        <f t="shared" si="1"/>
        <v>Middle Aged (31-54)</v>
      </c>
      <c r="N407" s="1" t="s">
        <v>17</v>
      </c>
    </row>
    <row r="408" ht="13.5" customHeight="1">
      <c r="A408" s="1">
        <v>18012.0</v>
      </c>
      <c r="B408" s="10" t="s">
        <v>48</v>
      </c>
      <c r="C408" s="10" t="s">
        <v>49</v>
      </c>
      <c r="D408" s="1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tr">
        <f t="shared" si="1"/>
        <v>Middle Aged (31-54)</v>
      </c>
      <c r="N408" s="1" t="s">
        <v>20</v>
      </c>
    </row>
    <row r="409" ht="13.5" customHeight="1">
      <c r="A409" s="1">
        <v>27582.0</v>
      </c>
      <c r="B409" s="10" t="s">
        <v>51</v>
      </c>
      <c r="C409" s="10" t="s">
        <v>49</v>
      </c>
      <c r="D409" s="1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tr">
        <f t="shared" si="1"/>
        <v>Middle Aged (31-54)</v>
      </c>
      <c r="N409" s="1" t="s">
        <v>17</v>
      </c>
    </row>
    <row r="410" ht="13.5" customHeight="1">
      <c r="A410" s="1">
        <v>12744.0</v>
      </c>
      <c r="B410" s="10" t="s">
        <v>51</v>
      </c>
      <c r="C410" s="10" t="s">
        <v>49</v>
      </c>
      <c r="D410" s="1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tr">
        <f t="shared" si="1"/>
        <v>Middle Aged (31-54)</v>
      </c>
      <c r="N410" s="1" t="s">
        <v>20</v>
      </c>
    </row>
    <row r="411" ht="13.5" customHeight="1">
      <c r="A411" s="1">
        <v>22821.0</v>
      </c>
      <c r="B411" s="10" t="s">
        <v>48</v>
      </c>
      <c r="C411" s="10" t="s">
        <v>49</v>
      </c>
      <c r="D411" s="1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tr">
        <f t="shared" si="1"/>
        <v>Middle Aged (31-54)</v>
      </c>
      <c r="N411" s="1" t="s">
        <v>20</v>
      </c>
    </row>
    <row r="412" ht="13.5" customHeight="1">
      <c r="A412" s="1">
        <v>20171.0</v>
      </c>
      <c r="B412" s="10" t="s">
        <v>48</v>
      </c>
      <c r="C412" s="10" t="s">
        <v>49</v>
      </c>
      <c r="D412" s="1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tr">
        <f t="shared" si="1"/>
        <v>Middle Aged (31-54)</v>
      </c>
      <c r="N412" s="1" t="s">
        <v>17</v>
      </c>
    </row>
    <row r="413" ht="13.5" customHeight="1">
      <c r="A413" s="1">
        <v>11116.0</v>
      </c>
      <c r="B413" s="10" t="s">
        <v>48</v>
      </c>
      <c r="C413" s="10" t="s">
        <v>50</v>
      </c>
      <c r="D413" s="1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tr">
        <f t="shared" si="1"/>
        <v>Middle Aged (31-54)</v>
      </c>
      <c r="N413" s="1" t="s">
        <v>20</v>
      </c>
    </row>
    <row r="414" ht="13.5" customHeight="1">
      <c r="A414" s="1">
        <v>20053.0</v>
      </c>
      <c r="B414" s="10" t="s">
        <v>51</v>
      </c>
      <c r="C414" s="10" t="s">
        <v>50</v>
      </c>
      <c r="D414" s="1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tr">
        <f t="shared" si="1"/>
        <v>Middle Aged (31-54)</v>
      </c>
      <c r="N414" s="1" t="s">
        <v>20</v>
      </c>
    </row>
    <row r="415" ht="13.5" customHeight="1">
      <c r="A415" s="1">
        <v>25266.0</v>
      </c>
      <c r="B415" s="10" t="s">
        <v>51</v>
      </c>
      <c r="C415" s="10" t="s">
        <v>49</v>
      </c>
      <c r="D415" s="1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tr">
        <f t="shared" si="1"/>
        <v>Old (54+)</v>
      </c>
      <c r="N415" s="1" t="s">
        <v>20</v>
      </c>
    </row>
    <row r="416" ht="13.5" customHeight="1">
      <c r="A416" s="1">
        <v>17960.0</v>
      </c>
      <c r="B416" s="10" t="s">
        <v>48</v>
      </c>
      <c r="C416" s="10" t="s">
        <v>49</v>
      </c>
      <c r="D416" s="1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tr">
        <f t="shared" si="1"/>
        <v>Middle Aged (31-54)</v>
      </c>
      <c r="N416" s="1" t="s">
        <v>17</v>
      </c>
    </row>
    <row r="417" ht="13.5" customHeight="1">
      <c r="A417" s="1">
        <v>13961.0</v>
      </c>
      <c r="B417" s="10" t="s">
        <v>48</v>
      </c>
      <c r="C417" s="10" t="s">
        <v>49</v>
      </c>
      <c r="D417" s="1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tr">
        <f t="shared" si="1"/>
        <v>Middle Aged (31-54)</v>
      </c>
      <c r="N417" s="1" t="s">
        <v>20</v>
      </c>
    </row>
    <row r="418" ht="13.5" customHeight="1">
      <c r="A418" s="1">
        <v>11897.0</v>
      </c>
      <c r="B418" s="10" t="s">
        <v>51</v>
      </c>
      <c r="C418" s="10" t="s">
        <v>50</v>
      </c>
      <c r="D418" s="1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tr">
        <f t="shared" si="1"/>
        <v>Middle Aged (31-54)</v>
      </c>
      <c r="N418" s="1" t="s">
        <v>17</v>
      </c>
    </row>
    <row r="419" ht="13.5" customHeight="1">
      <c r="A419" s="1">
        <v>11139.0</v>
      </c>
      <c r="B419" s="10" t="s">
        <v>51</v>
      </c>
      <c r="C419" s="10" t="s">
        <v>49</v>
      </c>
      <c r="D419" s="1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tr">
        <f t="shared" si="1"/>
        <v>Old (54+)</v>
      </c>
      <c r="N419" s="1" t="s">
        <v>20</v>
      </c>
    </row>
    <row r="420" ht="13.5" customHeight="1">
      <c r="A420" s="1">
        <v>11576.0</v>
      </c>
      <c r="B420" s="10" t="s">
        <v>48</v>
      </c>
      <c r="C420" s="10" t="s">
        <v>50</v>
      </c>
      <c r="D420" s="1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tr">
        <f t="shared" si="1"/>
        <v>Middle Aged (31-54)</v>
      </c>
      <c r="N420" s="1" t="s">
        <v>17</v>
      </c>
    </row>
    <row r="421" ht="13.5" customHeight="1">
      <c r="A421" s="1">
        <v>19255.0</v>
      </c>
      <c r="B421" s="10" t="s">
        <v>51</v>
      </c>
      <c r="C421" s="10" t="s">
        <v>50</v>
      </c>
      <c r="D421" s="1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tr">
        <f t="shared" si="1"/>
        <v>Middle Aged (31-54)</v>
      </c>
      <c r="N421" s="1" t="s">
        <v>17</v>
      </c>
    </row>
    <row r="422" ht="13.5" customHeight="1">
      <c r="A422" s="1">
        <v>18153.0</v>
      </c>
      <c r="B422" s="10" t="s">
        <v>48</v>
      </c>
      <c r="C422" s="10" t="s">
        <v>49</v>
      </c>
      <c r="D422" s="1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0" t="s">
        <v>52</v>
      </c>
      <c r="K422" s="1" t="s">
        <v>19</v>
      </c>
      <c r="L422" s="1">
        <v>59.0</v>
      </c>
      <c r="M422" s="1" t="str">
        <f t="shared" si="1"/>
        <v>Old (54+)</v>
      </c>
      <c r="N422" s="1" t="s">
        <v>20</v>
      </c>
    </row>
    <row r="423" ht="13.5" customHeight="1">
      <c r="A423" s="1">
        <v>14547.0</v>
      </c>
      <c r="B423" s="10" t="s">
        <v>48</v>
      </c>
      <c r="C423" s="10" t="s">
        <v>50</v>
      </c>
      <c r="D423" s="1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tr">
        <f t="shared" si="1"/>
        <v>Middle Aged (31-54)</v>
      </c>
      <c r="N423" s="1" t="s">
        <v>20</v>
      </c>
    </row>
    <row r="424" ht="13.5" customHeight="1">
      <c r="A424" s="1">
        <v>24901.0</v>
      </c>
      <c r="B424" s="10" t="s">
        <v>51</v>
      </c>
      <c r="C424" s="10" t="s">
        <v>50</v>
      </c>
      <c r="D424" s="1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0" t="s">
        <v>52</v>
      </c>
      <c r="K424" s="1" t="s">
        <v>27</v>
      </c>
      <c r="L424" s="1">
        <v>32.0</v>
      </c>
      <c r="M424" s="1" t="str">
        <f t="shared" si="1"/>
        <v>Middle Aged (31-54)</v>
      </c>
      <c r="N424" s="1" t="s">
        <v>17</v>
      </c>
    </row>
    <row r="425" ht="13.5" customHeight="1">
      <c r="A425" s="1">
        <v>27169.0</v>
      </c>
      <c r="B425" s="10" t="s">
        <v>51</v>
      </c>
      <c r="C425" s="10" t="s">
        <v>50</v>
      </c>
      <c r="D425" s="1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tr">
        <f t="shared" si="1"/>
        <v>Middle Aged (31-54)</v>
      </c>
      <c r="N425" s="1" t="s">
        <v>17</v>
      </c>
    </row>
    <row r="426" ht="13.5" customHeight="1">
      <c r="A426" s="1">
        <v>14805.0</v>
      </c>
      <c r="B426" s="10" t="s">
        <v>51</v>
      </c>
      <c r="C426" s="10" t="s">
        <v>49</v>
      </c>
      <c r="D426" s="1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tr">
        <f t="shared" si="1"/>
        <v>Middle Aged (31-54)</v>
      </c>
      <c r="N426" s="1" t="s">
        <v>20</v>
      </c>
    </row>
    <row r="427" ht="13.5" customHeight="1">
      <c r="A427" s="1">
        <v>15822.0</v>
      </c>
      <c r="B427" s="10" t="s">
        <v>48</v>
      </c>
      <c r="C427" s="10" t="s">
        <v>50</v>
      </c>
      <c r="D427" s="1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tr">
        <f t="shared" si="1"/>
        <v>Old (54+)</v>
      </c>
      <c r="N427" s="1" t="s">
        <v>20</v>
      </c>
    </row>
    <row r="428" ht="13.5" customHeight="1">
      <c r="A428" s="1">
        <v>19389.0</v>
      </c>
      <c r="B428" s="10" t="s">
        <v>51</v>
      </c>
      <c r="C428" s="10" t="s">
        <v>50</v>
      </c>
      <c r="D428" s="1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tr">
        <f t="shared" si="1"/>
        <v>Adolescent (0-30)</v>
      </c>
      <c r="N428" s="1" t="s">
        <v>20</v>
      </c>
    </row>
    <row r="429" ht="13.5" customHeight="1">
      <c r="A429" s="1">
        <v>17048.0</v>
      </c>
      <c r="B429" s="10" t="s">
        <v>51</v>
      </c>
      <c r="C429" s="10" t="s">
        <v>49</v>
      </c>
      <c r="D429" s="1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tr">
        <f t="shared" si="1"/>
        <v>Middle Aged (31-54)</v>
      </c>
      <c r="N429" s="1" t="s">
        <v>17</v>
      </c>
    </row>
    <row r="430" ht="13.5" customHeight="1">
      <c r="A430" s="1">
        <v>22204.0</v>
      </c>
      <c r="B430" s="10" t="s">
        <v>48</v>
      </c>
      <c r="C430" s="10" t="s">
        <v>50</v>
      </c>
      <c r="D430" s="1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tr">
        <f t="shared" si="1"/>
        <v>Middle Aged (31-54)</v>
      </c>
      <c r="N430" s="1" t="s">
        <v>20</v>
      </c>
    </row>
    <row r="431" ht="13.5" customHeight="1">
      <c r="A431" s="1">
        <v>12718.0</v>
      </c>
      <c r="B431" s="10" t="s">
        <v>51</v>
      </c>
      <c r="C431" s="10" t="s">
        <v>49</v>
      </c>
      <c r="D431" s="1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tr">
        <f t="shared" si="1"/>
        <v>Middle Aged (31-54)</v>
      </c>
      <c r="N431" s="1" t="s">
        <v>20</v>
      </c>
    </row>
    <row r="432" ht="13.5" customHeight="1">
      <c r="A432" s="1">
        <v>15019.0</v>
      </c>
      <c r="B432" s="10" t="s">
        <v>51</v>
      </c>
      <c r="C432" s="10" t="s">
        <v>49</v>
      </c>
      <c r="D432" s="1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tr">
        <f t="shared" si="1"/>
        <v>Old (54+)</v>
      </c>
      <c r="N432" s="1" t="s">
        <v>20</v>
      </c>
    </row>
    <row r="433" ht="13.5" customHeight="1">
      <c r="A433" s="1">
        <v>28488.0</v>
      </c>
      <c r="B433" s="10" t="s">
        <v>51</v>
      </c>
      <c r="C433" s="10" t="s">
        <v>50</v>
      </c>
      <c r="D433" s="1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tr">
        <f t="shared" si="1"/>
        <v>Adolescent (0-30)</v>
      </c>
      <c r="N433" s="1" t="s">
        <v>17</v>
      </c>
    </row>
    <row r="434" ht="13.5" customHeight="1">
      <c r="A434" s="1">
        <v>21891.0</v>
      </c>
      <c r="B434" s="10" t="s">
        <v>48</v>
      </c>
      <c r="C434" s="10" t="s">
        <v>49</v>
      </c>
      <c r="D434" s="1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0" t="s">
        <v>52</v>
      </c>
      <c r="K434" s="1" t="s">
        <v>27</v>
      </c>
      <c r="L434" s="1">
        <v>34.0</v>
      </c>
      <c r="M434" s="1" t="str">
        <f t="shared" si="1"/>
        <v>Middle Aged (31-54)</v>
      </c>
      <c r="N434" s="1" t="s">
        <v>17</v>
      </c>
    </row>
    <row r="435" ht="13.5" customHeight="1">
      <c r="A435" s="1">
        <v>27814.0</v>
      </c>
      <c r="B435" s="10" t="s">
        <v>51</v>
      </c>
      <c r="C435" s="10" t="s">
        <v>49</v>
      </c>
      <c r="D435" s="1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tr">
        <f t="shared" si="1"/>
        <v>Adolescent (0-30)</v>
      </c>
      <c r="N435" s="1" t="s">
        <v>20</v>
      </c>
    </row>
    <row r="436" ht="13.5" customHeight="1">
      <c r="A436" s="1">
        <v>22175.0</v>
      </c>
      <c r="B436" s="10" t="s">
        <v>48</v>
      </c>
      <c r="C436" s="10" t="s">
        <v>49</v>
      </c>
      <c r="D436" s="1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tr">
        <f t="shared" si="1"/>
        <v>Middle Aged (31-54)</v>
      </c>
      <c r="N436" s="1" t="s">
        <v>17</v>
      </c>
    </row>
    <row r="437" ht="13.5" customHeight="1">
      <c r="A437" s="1">
        <v>29447.0</v>
      </c>
      <c r="B437" s="10" t="s">
        <v>51</v>
      </c>
      <c r="C437" s="10" t="s">
        <v>49</v>
      </c>
      <c r="D437" s="1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tr">
        <f t="shared" si="1"/>
        <v>Old (54+)</v>
      </c>
      <c r="N437" s="1" t="s">
        <v>20</v>
      </c>
    </row>
    <row r="438" ht="13.5" customHeight="1">
      <c r="A438" s="1">
        <v>19784.0</v>
      </c>
      <c r="B438" s="10" t="s">
        <v>48</v>
      </c>
      <c r="C438" s="10" t="s">
        <v>49</v>
      </c>
      <c r="D438" s="1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tr">
        <f t="shared" si="1"/>
        <v>Middle Aged (31-54)</v>
      </c>
      <c r="N438" s="1" t="s">
        <v>17</v>
      </c>
    </row>
    <row r="439" ht="13.5" customHeight="1">
      <c r="A439" s="1">
        <v>27824.0</v>
      </c>
      <c r="B439" s="10" t="s">
        <v>51</v>
      </c>
      <c r="C439" s="10" t="s">
        <v>49</v>
      </c>
      <c r="D439" s="1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tr">
        <f t="shared" si="1"/>
        <v>Adolescent (0-30)</v>
      </c>
      <c r="N439" s="1" t="s">
        <v>17</v>
      </c>
    </row>
    <row r="440" ht="13.5" customHeight="1">
      <c r="A440" s="1">
        <v>24093.0</v>
      </c>
      <c r="B440" s="10" t="s">
        <v>51</v>
      </c>
      <c r="C440" s="10" t="s">
        <v>49</v>
      </c>
      <c r="D440" s="1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tr">
        <f t="shared" si="1"/>
        <v>Middle Aged (31-54)</v>
      </c>
      <c r="N440" s="1" t="s">
        <v>17</v>
      </c>
    </row>
    <row r="441" ht="13.5" customHeight="1">
      <c r="A441" s="1">
        <v>19618.0</v>
      </c>
      <c r="B441" s="10" t="s">
        <v>48</v>
      </c>
      <c r="C441" s="10" t="s">
        <v>50</v>
      </c>
      <c r="D441" s="1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tr">
        <f t="shared" si="1"/>
        <v>Middle Aged (31-54)</v>
      </c>
      <c r="N441" s="1" t="s">
        <v>20</v>
      </c>
    </row>
    <row r="442" ht="13.5" customHeight="1">
      <c r="A442" s="1">
        <v>21561.0</v>
      </c>
      <c r="B442" s="10" t="s">
        <v>51</v>
      </c>
      <c r="C442" s="10" t="s">
        <v>50</v>
      </c>
      <c r="D442" s="1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0" t="s">
        <v>52</v>
      </c>
      <c r="K442" s="1" t="s">
        <v>27</v>
      </c>
      <c r="L442" s="1">
        <v>34.0</v>
      </c>
      <c r="M442" s="1" t="str">
        <f t="shared" si="1"/>
        <v>Middle Aged (31-54)</v>
      </c>
      <c r="N442" s="1" t="s">
        <v>17</v>
      </c>
    </row>
    <row r="443" ht="13.5" customHeight="1">
      <c r="A443" s="1">
        <v>11061.0</v>
      </c>
      <c r="B443" s="10" t="s">
        <v>48</v>
      </c>
      <c r="C443" s="10" t="s">
        <v>50</v>
      </c>
      <c r="D443" s="1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tr">
        <f t="shared" si="1"/>
        <v>Middle Aged (31-54)</v>
      </c>
      <c r="N443" s="1" t="s">
        <v>17</v>
      </c>
    </row>
    <row r="444" ht="13.5" customHeight="1">
      <c r="A444" s="1">
        <v>26651.0</v>
      </c>
      <c r="B444" s="10" t="s">
        <v>51</v>
      </c>
      <c r="C444" s="10" t="s">
        <v>50</v>
      </c>
      <c r="D444" s="1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tr">
        <f t="shared" si="1"/>
        <v>Middle Aged (31-54)</v>
      </c>
      <c r="N444" s="1" t="s">
        <v>17</v>
      </c>
    </row>
    <row r="445" ht="13.5" customHeight="1">
      <c r="A445" s="1">
        <v>21108.0</v>
      </c>
      <c r="B445" s="10" t="s">
        <v>48</v>
      </c>
      <c r="C445" s="10" t="s">
        <v>49</v>
      </c>
      <c r="D445" s="1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tr">
        <f t="shared" si="1"/>
        <v>Middle Aged (31-54)</v>
      </c>
      <c r="N445" s="1" t="s">
        <v>17</v>
      </c>
    </row>
    <row r="446" ht="13.5" customHeight="1">
      <c r="A446" s="1">
        <v>12731.0</v>
      </c>
      <c r="B446" s="10" t="s">
        <v>51</v>
      </c>
      <c r="C446" s="10" t="s">
        <v>50</v>
      </c>
      <c r="D446" s="1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tr">
        <f t="shared" si="1"/>
        <v>Middle Aged (31-54)</v>
      </c>
      <c r="N446" s="1" t="s">
        <v>20</v>
      </c>
    </row>
    <row r="447" ht="13.5" customHeight="1">
      <c r="A447" s="1">
        <v>25307.0</v>
      </c>
      <c r="B447" s="10" t="s">
        <v>48</v>
      </c>
      <c r="C447" s="10" t="s">
        <v>49</v>
      </c>
      <c r="D447" s="1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tr">
        <f t="shared" si="1"/>
        <v>Middle Aged (31-54)</v>
      </c>
      <c r="N447" s="1" t="s">
        <v>17</v>
      </c>
    </row>
    <row r="448" ht="13.5" customHeight="1">
      <c r="A448" s="1">
        <v>14278.0</v>
      </c>
      <c r="B448" s="10" t="s">
        <v>48</v>
      </c>
      <c r="C448" s="10" t="s">
        <v>49</v>
      </c>
      <c r="D448" s="1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0" t="s">
        <v>52</v>
      </c>
      <c r="K448" s="1" t="s">
        <v>27</v>
      </c>
      <c r="L448" s="1">
        <v>48.0</v>
      </c>
      <c r="M448" s="1" t="str">
        <f t="shared" si="1"/>
        <v>Middle Aged (31-54)</v>
      </c>
      <c r="N448" s="1" t="s">
        <v>20</v>
      </c>
    </row>
    <row r="449" ht="13.5" customHeight="1">
      <c r="A449" s="1">
        <v>20711.0</v>
      </c>
      <c r="B449" s="10" t="s">
        <v>48</v>
      </c>
      <c r="C449" s="10" t="s">
        <v>49</v>
      </c>
      <c r="D449" s="1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tr">
        <f t="shared" si="1"/>
        <v>Middle Aged (31-54)</v>
      </c>
      <c r="N449" s="1" t="s">
        <v>17</v>
      </c>
    </row>
    <row r="450" ht="13.5" customHeight="1">
      <c r="A450" s="1">
        <v>11383.0</v>
      </c>
      <c r="B450" s="10" t="s">
        <v>48</v>
      </c>
      <c r="C450" s="10" t="s">
        <v>49</v>
      </c>
      <c r="D450" s="1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tr">
        <f t="shared" si="1"/>
        <v>Middle Aged (31-54)</v>
      </c>
      <c r="N450" s="1" t="s">
        <v>20</v>
      </c>
    </row>
    <row r="451" ht="13.5" customHeight="1">
      <c r="A451" s="1">
        <v>12497.0</v>
      </c>
      <c r="B451" s="10" t="s">
        <v>48</v>
      </c>
      <c r="C451" s="10" t="s">
        <v>49</v>
      </c>
      <c r="D451" s="1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tr">
        <f t="shared" si="1"/>
        <v>Middle Aged (31-54)</v>
      </c>
      <c r="N451" s="1" t="s">
        <v>20</v>
      </c>
    </row>
    <row r="452" ht="13.5" customHeight="1">
      <c r="A452" s="1">
        <v>16559.0</v>
      </c>
      <c r="B452" s="10" t="s">
        <v>51</v>
      </c>
      <c r="C452" s="10" t="s">
        <v>49</v>
      </c>
      <c r="D452" s="1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tr">
        <f t="shared" si="1"/>
        <v>Middle Aged (31-54)</v>
      </c>
      <c r="N452" s="1" t="s">
        <v>17</v>
      </c>
    </row>
    <row r="453" ht="13.5" customHeight="1">
      <c r="A453" s="1">
        <v>11585.0</v>
      </c>
      <c r="B453" s="10" t="s">
        <v>48</v>
      </c>
      <c r="C453" s="10" t="s">
        <v>49</v>
      </c>
      <c r="D453" s="1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tr">
        <f t="shared" si="1"/>
        <v>Middle Aged (31-54)</v>
      </c>
      <c r="N453" s="1" t="s">
        <v>20</v>
      </c>
    </row>
    <row r="454" ht="13.5" customHeight="1">
      <c r="A454" s="1">
        <v>20277.0</v>
      </c>
      <c r="B454" s="10" t="s">
        <v>48</v>
      </c>
      <c r="C454" s="10" t="s">
        <v>49</v>
      </c>
      <c r="D454" s="1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tr">
        <f t="shared" si="1"/>
        <v>Old (54+)</v>
      </c>
      <c r="N454" s="1" t="s">
        <v>20</v>
      </c>
    </row>
    <row r="455" ht="13.5" customHeight="1">
      <c r="A455" s="1">
        <v>26765.0</v>
      </c>
      <c r="B455" s="10" t="s">
        <v>51</v>
      </c>
      <c r="C455" s="10" t="s">
        <v>49</v>
      </c>
      <c r="D455" s="1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tr">
        <f t="shared" si="1"/>
        <v>Middle Aged (31-54)</v>
      </c>
      <c r="N455" s="1" t="s">
        <v>20</v>
      </c>
    </row>
    <row r="456" ht="13.5" customHeight="1">
      <c r="A456" s="1">
        <v>12389.0</v>
      </c>
      <c r="B456" s="10" t="s">
        <v>51</v>
      </c>
      <c r="C456" s="10" t="s">
        <v>50</v>
      </c>
      <c r="D456" s="1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tr">
        <f t="shared" si="1"/>
        <v>Middle Aged (31-54)</v>
      </c>
      <c r="N456" s="1" t="s">
        <v>20</v>
      </c>
    </row>
    <row r="457" ht="13.5" customHeight="1">
      <c r="A457" s="1">
        <v>13585.0</v>
      </c>
      <c r="B457" s="10" t="s">
        <v>48</v>
      </c>
      <c r="C457" s="10" t="s">
        <v>49</v>
      </c>
      <c r="D457" s="1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tr">
        <f t="shared" si="1"/>
        <v>Middle Aged (31-54)</v>
      </c>
      <c r="N457" s="1" t="s">
        <v>17</v>
      </c>
    </row>
    <row r="458" ht="13.5" customHeight="1">
      <c r="A458" s="1">
        <v>26385.0</v>
      </c>
      <c r="B458" s="10" t="s">
        <v>51</v>
      </c>
      <c r="C458" s="10" t="s">
        <v>50</v>
      </c>
      <c r="D458" s="1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tr">
        <f t="shared" si="1"/>
        <v>Middle Aged (31-54)</v>
      </c>
      <c r="N458" s="1" t="s">
        <v>20</v>
      </c>
    </row>
    <row r="459" ht="13.5" customHeight="1">
      <c r="A459" s="1">
        <v>12236.0</v>
      </c>
      <c r="B459" s="10" t="s">
        <v>48</v>
      </c>
      <c r="C459" s="10" t="s">
        <v>49</v>
      </c>
      <c r="D459" s="1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tr">
        <f t="shared" si="1"/>
        <v>Old (54+)</v>
      </c>
      <c r="N459" s="1" t="s">
        <v>20</v>
      </c>
    </row>
    <row r="460" ht="13.5" customHeight="1">
      <c r="A460" s="1">
        <v>21560.0</v>
      </c>
      <c r="B460" s="10" t="s">
        <v>48</v>
      </c>
      <c r="C460" s="10" t="s">
        <v>50</v>
      </c>
      <c r="D460" s="1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0" t="s">
        <v>52</v>
      </c>
      <c r="K460" s="1" t="s">
        <v>27</v>
      </c>
      <c r="L460" s="1">
        <v>32.0</v>
      </c>
      <c r="M460" s="1" t="str">
        <f t="shared" si="1"/>
        <v>Middle Aged (31-54)</v>
      </c>
      <c r="N460" s="1" t="s">
        <v>17</v>
      </c>
    </row>
    <row r="461" ht="13.5" customHeight="1">
      <c r="A461" s="1">
        <v>21554.0</v>
      </c>
      <c r="B461" s="10" t="s">
        <v>51</v>
      </c>
      <c r="C461" s="10" t="s">
        <v>49</v>
      </c>
      <c r="D461" s="1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0" t="s">
        <v>52</v>
      </c>
      <c r="K461" s="1" t="s">
        <v>27</v>
      </c>
      <c r="L461" s="1">
        <v>33.0</v>
      </c>
      <c r="M461" s="1" t="str">
        <f t="shared" si="1"/>
        <v>Middle Aged (31-54)</v>
      </c>
      <c r="N461" s="1" t="s">
        <v>20</v>
      </c>
    </row>
    <row r="462" ht="13.5" customHeight="1">
      <c r="A462" s="1">
        <v>13662.0</v>
      </c>
      <c r="B462" s="10" t="s">
        <v>51</v>
      </c>
      <c r="C462" s="10" t="s">
        <v>50</v>
      </c>
      <c r="D462" s="1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tr">
        <f t="shared" si="1"/>
        <v>Middle Aged (31-54)</v>
      </c>
      <c r="N462" s="1" t="s">
        <v>17</v>
      </c>
    </row>
    <row r="463" ht="13.5" customHeight="1">
      <c r="A463" s="1">
        <v>13089.0</v>
      </c>
      <c r="B463" s="10" t="s">
        <v>48</v>
      </c>
      <c r="C463" s="10" t="s">
        <v>49</v>
      </c>
      <c r="D463" s="1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tr">
        <f t="shared" si="1"/>
        <v>Middle Aged (31-54)</v>
      </c>
      <c r="N463" s="1" t="s">
        <v>17</v>
      </c>
    </row>
    <row r="464" ht="13.5" customHeight="1">
      <c r="A464" s="1">
        <v>14791.0</v>
      </c>
      <c r="B464" s="10" t="s">
        <v>48</v>
      </c>
      <c r="C464" s="10" t="s">
        <v>49</v>
      </c>
      <c r="D464" s="1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tr">
        <f t="shared" si="1"/>
        <v>Middle Aged (31-54)</v>
      </c>
      <c r="N464" s="1" t="s">
        <v>17</v>
      </c>
    </row>
    <row r="465" ht="13.5" customHeight="1">
      <c r="A465" s="1">
        <v>19331.0</v>
      </c>
      <c r="B465" s="10" t="s">
        <v>51</v>
      </c>
      <c r="C465" s="10" t="s">
        <v>50</v>
      </c>
      <c r="D465" s="1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tr">
        <f t="shared" si="1"/>
        <v>Middle Aged (31-54)</v>
      </c>
      <c r="N465" s="1" t="s">
        <v>20</v>
      </c>
    </row>
    <row r="466" ht="13.5" customHeight="1">
      <c r="A466" s="1">
        <v>17754.0</v>
      </c>
      <c r="B466" s="10" t="s">
        <v>51</v>
      </c>
      <c r="C466" s="10" t="s">
        <v>49</v>
      </c>
      <c r="D466" s="1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tr">
        <f t="shared" si="1"/>
        <v>Middle Aged (31-54)</v>
      </c>
      <c r="N466" s="1" t="s">
        <v>17</v>
      </c>
    </row>
    <row r="467" ht="13.5" customHeight="1">
      <c r="A467" s="1">
        <v>11149.0</v>
      </c>
      <c r="B467" s="10" t="s">
        <v>48</v>
      </c>
      <c r="C467" s="10" t="s">
        <v>50</v>
      </c>
      <c r="D467" s="1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tr">
        <f t="shared" si="1"/>
        <v>Old (54+)</v>
      </c>
      <c r="N467" s="1" t="s">
        <v>20</v>
      </c>
    </row>
    <row r="468" ht="13.5" customHeight="1">
      <c r="A468" s="1">
        <v>16549.0</v>
      </c>
      <c r="B468" s="10" t="s">
        <v>51</v>
      </c>
      <c r="C468" s="10" t="s">
        <v>49</v>
      </c>
      <c r="D468" s="1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tr">
        <f t="shared" si="1"/>
        <v>Middle Aged (31-54)</v>
      </c>
      <c r="N468" s="1" t="s">
        <v>17</v>
      </c>
    </row>
    <row r="469" ht="13.5" customHeight="1">
      <c r="A469" s="1">
        <v>24305.0</v>
      </c>
      <c r="B469" s="10" t="s">
        <v>51</v>
      </c>
      <c r="C469" s="10" t="s">
        <v>50</v>
      </c>
      <c r="D469" s="1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tr">
        <f t="shared" si="1"/>
        <v>Middle Aged (31-54)</v>
      </c>
      <c r="N469" s="1" t="s">
        <v>17</v>
      </c>
    </row>
    <row r="470" ht="13.5" customHeight="1">
      <c r="A470" s="1">
        <v>18253.0</v>
      </c>
      <c r="B470" s="10" t="s">
        <v>48</v>
      </c>
      <c r="C470" s="10" t="s">
        <v>49</v>
      </c>
      <c r="D470" s="1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tr">
        <f t="shared" si="1"/>
        <v>Middle Aged (31-54)</v>
      </c>
      <c r="N470" s="1" t="s">
        <v>20</v>
      </c>
    </row>
    <row r="471" ht="13.5" customHeight="1">
      <c r="A471" s="1">
        <v>20147.0</v>
      </c>
      <c r="B471" s="10" t="s">
        <v>48</v>
      </c>
      <c r="C471" s="10" t="s">
        <v>49</v>
      </c>
      <c r="D471" s="1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tr">
        <f t="shared" si="1"/>
        <v>Old (54+)</v>
      </c>
      <c r="N471" s="1" t="s">
        <v>20</v>
      </c>
    </row>
    <row r="472" ht="13.5" customHeight="1">
      <c r="A472" s="1">
        <v>15612.0</v>
      </c>
      <c r="B472" s="10" t="s">
        <v>51</v>
      </c>
      <c r="C472" s="10" t="s">
        <v>50</v>
      </c>
      <c r="D472" s="1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tr">
        <f t="shared" si="1"/>
        <v>Adolescent (0-30)</v>
      </c>
      <c r="N472" s="1" t="s">
        <v>20</v>
      </c>
    </row>
    <row r="473" ht="13.5" customHeight="1">
      <c r="A473" s="1">
        <v>28323.0</v>
      </c>
      <c r="B473" s="10" t="s">
        <v>51</v>
      </c>
      <c r="C473" s="10" t="s">
        <v>50</v>
      </c>
      <c r="D473" s="1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tr">
        <f t="shared" si="1"/>
        <v>Middle Aged (31-54)</v>
      </c>
      <c r="N473" s="1" t="s">
        <v>17</v>
      </c>
    </row>
    <row r="474" ht="13.5" customHeight="1">
      <c r="A474" s="1">
        <v>22634.0</v>
      </c>
      <c r="B474" s="10" t="s">
        <v>51</v>
      </c>
      <c r="C474" s="10" t="s">
        <v>49</v>
      </c>
      <c r="D474" s="1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tr">
        <f t="shared" si="1"/>
        <v>Middle Aged (31-54)</v>
      </c>
      <c r="N474" s="1" t="s">
        <v>17</v>
      </c>
    </row>
    <row r="475" ht="13.5" customHeight="1">
      <c r="A475" s="1">
        <v>15665.0</v>
      </c>
      <c r="B475" s="10" t="s">
        <v>48</v>
      </c>
      <c r="C475" s="10" t="s">
        <v>49</v>
      </c>
      <c r="D475" s="1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tr">
        <f t="shared" si="1"/>
        <v>Middle Aged (31-54)</v>
      </c>
      <c r="N475" s="1" t="s">
        <v>17</v>
      </c>
    </row>
    <row r="476" ht="13.5" customHeight="1">
      <c r="A476" s="1">
        <v>27585.0</v>
      </c>
      <c r="B476" s="10" t="s">
        <v>48</v>
      </c>
      <c r="C476" s="10" t="s">
        <v>49</v>
      </c>
      <c r="D476" s="1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tr">
        <f t="shared" si="1"/>
        <v>Middle Aged (31-54)</v>
      </c>
      <c r="N476" s="1" t="s">
        <v>17</v>
      </c>
    </row>
    <row r="477" ht="13.5" customHeight="1">
      <c r="A477" s="1">
        <v>19748.0</v>
      </c>
      <c r="B477" s="10" t="s">
        <v>48</v>
      </c>
      <c r="C477" s="10" t="s">
        <v>50</v>
      </c>
      <c r="D477" s="1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tr">
        <f t="shared" si="1"/>
        <v>Old (54+)</v>
      </c>
      <c r="N477" s="1" t="s">
        <v>20</v>
      </c>
    </row>
    <row r="478" ht="13.5" customHeight="1">
      <c r="A478" s="1">
        <v>21974.0</v>
      </c>
      <c r="B478" s="10" t="s">
        <v>51</v>
      </c>
      <c r="C478" s="10" t="s">
        <v>49</v>
      </c>
      <c r="D478" s="1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tr">
        <f t="shared" si="1"/>
        <v>Middle Aged (31-54)</v>
      </c>
      <c r="N478" s="1" t="s">
        <v>17</v>
      </c>
    </row>
    <row r="479" ht="13.5" customHeight="1">
      <c r="A479" s="1">
        <v>14032.0</v>
      </c>
      <c r="B479" s="10" t="s">
        <v>48</v>
      </c>
      <c r="C479" s="10" t="s">
        <v>50</v>
      </c>
      <c r="D479" s="1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tr">
        <f t="shared" si="1"/>
        <v>Middle Aged (31-54)</v>
      </c>
      <c r="N479" s="1" t="s">
        <v>17</v>
      </c>
    </row>
    <row r="480" ht="13.5" customHeight="1">
      <c r="A480" s="1">
        <v>22610.0</v>
      </c>
      <c r="B480" s="10" t="s">
        <v>48</v>
      </c>
      <c r="C480" s="10" t="s">
        <v>50</v>
      </c>
      <c r="D480" s="1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tr">
        <f t="shared" si="1"/>
        <v>Middle Aged (31-54)</v>
      </c>
      <c r="N480" s="1" t="s">
        <v>17</v>
      </c>
    </row>
    <row r="481" ht="13.5" customHeight="1">
      <c r="A481" s="1">
        <v>26984.0</v>
      </c>
      <c r="B481" s="10" t="s">
        <v>48</v>
      </c>
      <c r="C481" s="10" t="s">
        <v>50</v>
      </c>
      <c r="D481" s="1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tr">
        <f t="shared" si="1"/>
        <v>Middle Aged (31-54)</v>
      </c>
      <c r="N481" s="1" t="s">
        <v>17</v>
      </c>
    </row>
    <row r="482" ht="13.5" customHeight="1">
      <c r="A482" s="1">
        <v>18294.0</v>
      </c>
      <c r="B482" s="10" t="s">
        <v>48</v>
      </c>
      <c r="C482" s="10" t="s">
        <v>49</v>
      </c>
      <c r="D482" s="1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tr">
        <f t="shared" si="1"/>
        <v>Middle Aged (31-54)</v>
      </c>
      <c r="N482" s="1" t="s">
        <v>20</v>
      </c>
    </row>
    <row r="483" ht="13.5" customHeight="1">
      <c r="A483" s="1">
        <v>28564.0</v>
      </c>
      <c r="B483" s="10" t="s">
        <v>51</v>
      </c>
      <c r="C483" s="10" t="s">
        <v>49</v>
      </c>
      <c r="D483" s="1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tr">
        <f t="shared" si="1"/>
        <v>Middle Aged (31-54)</v>
      </c>
      <c r="N483" s="1" t="s">
        <v>17</v>
      </c>
    </row>
    <row r="484" ht="13.5" customHeight="1">
      <c r="A484" s="1">
        <v>28521.0</v>
      </c>
      <c r="B484" s="10" t="s">
        <v>51</v>
      </c>
      <c r="C484" s="10" t="s">
        <v>50</v>
      </c>
      <c r="D484" s="1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tr">
        <f t="shared" si="1"/>
        <v>Middle Aged (31-54)</v>
      </c>
      <c r="N484" s="1" t="s">
        <v>17</v>
      </c>
    </row>
    <row r="485" ht="13.5" customHeight="1">
      <c r="A485" s="1">
        <v>15450.0</v>
      </c>
      <c r="B485" s="10" t="s">
        <v>48</v>
      </c>
      <c r="C485" s="10" t="s">
        <v>50</v>
      </c>
      <c r="D485" s="1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tr">
        <f t="shared" si="1"/>
        <v>Old (54+)</v>
      </c>
      <c r="N485" s="1" t="s">
        <v>20</v>
      </c>
    </row>
    <row r="486" ht="13.5" customHeight="1">
      <c r="A486" s="1">
        <v>25681.0</v>
      </c>
      <c r="B486" s="10" t="s">
        <v>51</v>
      </c>
      <c r="C486" s="10" t="s">
        <v>49</v>
      </c>
      <c r="D486" s="1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tr">
        <f t="shared" si="1"/>
        <v>Middle Aged (31-54)</v>
      </c>
      <c r="N486" s="1" t="s">
        <v>17</v>
      </c>
    </row>
    <row r="487" ht="13.5" customHeight="1">
      <c r="A487" s="1">
        <v>19491.0</v>
      </c>
      <c r="B487" s="10" t="s">
        <v>51</v>
      </c>
      <c r="C487" s="10" t="s">
        <v>50</v>
      </c>
      <c r="D487" s="1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tr">
        <f t="shared" si="1"/>
        <v>Middle Aged (31-54)</v>
      </c>
      <c r="N487" s="1" t="s">
        <v>20</v>
      </c>
    </row>
    <row r="488" ht="13.5" customHeight="1">
      <c r="A488" s="1">
        <v>26415.0</v>
      </c>
      <c r="B488" s="10" t="s">
        <v>48</v>
      </c>
      <c r="C488" s="10" t="s">
        <v>49</v>
      </c>
      <c r="D488" s="1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0" t="s">
        <v>52</v>
      </c>
      <c r="K488" s="1" t="s">
        <v>19</v>
      </c>
      <c r="L488" s="1">
        <v>58.0</v>
      </c>
      <c r="M488" s="1" t="str">
        <f t="shared" si="1"/>
        <v>Old (54+)</v>
      </c>
      <c r="N488" s="1" t="s">
        <v>20</v>
      </c>
    </row>
    <row r="489" ht="13.5" customHeight="1">
      <c r="A489" s="1">
        <v>12821.0</v>
      </c>
      <c r="B489" s="10" t="s">
        <v>48</v>
      </c>
      <c r="C489" s="10" t="s">
        <v>50</v>
      </c>
      <c r="D489" s="1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tr">
        <f t="shared" si="1"/>
        <v>Middle Aged (31-54)</v>
      </c>
      <c r="N489" s="1" t="s">
        <v>20</v>
      </c>
    </row>
    <row r="490" ht="13.5" customHeight="1">
      <c r="A490" s="1">
        <v>15629.0</v>
      </c>
      <c r="B490" s="10" t="s">
        <v>51</v>
      </c>
      <c r="C490" s="10" t="s">
        <v>49</v>
      </c>
      <c r="D490" s="1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tr">
        <f t="shared" si="1"/>
        <v>Middle Aged (31-54)</v>
      </c>
      <c r="N490" s="1" t="s">
        <v>20</v>
      </c>
    </row>
    <row r="491" ht="13.5" customHeight="1">
      <c r="A491" s="1">
        <v>27835.0</v>
      </c>
      <c r="B491" s="10" t="s">
        <v>48</v>
      </c>
      <c r="C491" s="10" t="s">
        <v>50</v>
      </c>
      <c r="D491" s="1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tr">
        <f t="shared" si="1"/>
        <v>Middle Aged (31-54)</v>
      </c>
      <c r="N491" s="1" t="s">
        <v>20</v>
      </c>
    </row>
    <row r="492" ht="13.5" customHeight="1">
      <c r="A492" s="1">
        <v>11738.0</v>
      </c>
      <c r="B492" s="10" t="s">
        <v>48</v>
      </c>
      <c r="C492" s="10" t="s">
        <v>50</v>
      </c>
      <c r="D492" s="1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tr">
        <f t="shared" si="1"/>
        <v>Middle Aged (31-54)</v>
      </c>
      <c r="N492" s="1" t="s">
        <v>20</v>
      </c>
    </row>
    <row r="493" ht="13.5" customHeight="1">
      <c r="A493" s="1">
        <v>25065.0</v>
      </c>
      <c r="B493" s="10" t="s">
        <v>48</v>
      </c>
      <c r="C493" s="10" t="s">
        <v>50</v>
      </c>
      <c r="D493" s="1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tr">
        <f t="shared" si="1"/>
        <v>Middle Aged (31-54)</v>
      </c>
      <c r="N493" s="1" t="s">
        <v>20</v>
      </c>
    </row>
    <row r="494" ht="13.5" customHeight="1">
      <c r="A494" s="1">
        <v>26238.0</v>
      </c>
      <c r="B494" s="10" t="s">
        <v>51</v>
      </c>
      <c r="C494" s="10" t="s">
        <v>49</v>
      </c>
      <c r="D494" s="1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tr">
        <f t="shared" si="1"/>
        <v>Middle Aged (31-54)</v>
      </c>
      <c r="N494" s="1" t="s">
        <v>17</v>
      </c>
    </row>
    <row r="495" ht="13.5" customHeight="1">
      <c r="A495" s="1">
        <v>23707.0</v>
      </c>
      <c r="B495" s="10" t="s">
        <v>51</v>
      </c>
      <c r="C495" s="10" t="s">
        <v>50</v>
      </c>
      <c r="D495" s="1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0" t="s">
        <v>52</v>
      </c>
      <c r="K495" s="1" t="s">
        <v>35</v>
      </c>
      <c r="L495" s="1">
        <v>60.0</v>
      </c>
      <c r="M495" s="1" t="str">
        <f t="shared" si="1"/>
        <v>Old (54+)</v>
      </c>
      <c r="N495" s="1" t="s">
        <v>17</v>
      </c>
    </row>
    <row r="496" ht="13.5" customHeight="1">
      <c r="A496" s="1">
        <v>27650.0</v>
      </c>
      <c r="B496" s="10" t="s">
        <v>48</v>
      </c>
      <c r="C496" s="10" t="s">
        <v>50</v>
      </c>
      <c r="D496" s="1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tr">
        <f t="shared" si="1"/>
        <v>Middle Aged (31-54)</v>
      </c>
      <c r="N496" s="1" t="s">
        <v>20</v>
      </c>
    </row>
    <row r="497" ht="13.5" customHeight="1">
      <c r="A497" s="1">
        <v>24981.0</v>
      </c>
      <c r="B497" s="10" t="s">
        <v>48</v>
      </c>
      <c r="C497" s="10" t="s">
        <v>50</v>
      </c>
      <c r="D497" s="1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0" t="s">
        <v>52</v>
      </c>
      <c r="K497" s="1" t="s">
        <v>35</v>
      </c>
      <c r="L497" s="1">
        <v>56.0</v>
      </c>
      <c r="M497" s="1" t="str">
        <f t="shared" si="1"/>
        <v>Old (54+)</v>
      </c>
      <c r="N497" s="1" t="s">
        <v>20</v>
      </c>
    </row>
    <row r="498" ht="13.5" customHeight="1">
      <c r="A498" s="1">
        <v>20678.0</v>
      </c>
      <c r="B498" s="10" t="s">
        <v>51</v>
      </c>
      <c r="C498" s="10" t="s">
        <v>49</v>
      </c>
      <c r="D498" s="1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tr">
        <f t="shared" si="1"/>
        <v>Middle Aged (31-54)</v>
      </c>
      <c r="N498" s="1" t="s">
        <v>17</v>
      </c>
    </row>
    <row r="499" ht="13.5" customHeight="1">
      <c r="A499" s="1">
        <v>15302.0</v>
      </c>
      <c r="B499" s="10" t="s">
        <v>51</v>
      </c>
      <c r="C499" s="10" t="s">
        <v>49</v>
      </c>
      <c r="D499" s="1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tr">
        <f t="shared" si="1"/>
        <v>Middle Aged (31-54)</v>
      </c>
      <c r="N499" s="1" t="s">
        <v>17</v>
      </c>
    </row>
    <row r="500" ht="13.5" customHeight="1">
      <c r="A500" s="1">
        <v>26012.0</v>
      </c>
      <c r="B500" s="10" t="s">
        <v>48</v>
      </c>
      <c r="C500" s="10" t="s">
        <v>50</v>
      </c>
      <c r="D500" s="1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tr">
        <f t="shared" si="1"/>
        <v>Middle Aged (31-54)</v>
      </c>
      <c r="N500" s="1" t="s">
        <v>17</v>
      </c>
    </row>
    <row r="501" ht="13.5" customHeight="1">
      <c r="A501" s="1">
        <v>26575.0</v>
      </c>
      <c r="B501" s="10" t="s">
        <v>51</v>
      </c>
      <c r="C501" s="10" t="s">
        <v>49</v>
      </c>
      <c r="D501" s="1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tr">
        <f t="shared" si="1"/>
        <v>Middle Aged (31-54)</v>
      </c>
      <c r="N501" s="1" t="s">
        <v>17</v>
      </c>
    </row>
    <row r="502" ht="13.5" customHeight="1">
      <c r="A502" s="1">
        <v>15559.0</v>
      </c>
      <c r="B502" s="10" t="s">
        <v>48</v>
      </c>
      <c r="C502" s="10" t="s">
        <v>50</v>
      </c>
      <c r="D502" s="1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tr">
        <f t="shared" si="1"/>
        <v>Middle Aged (31-54)</v>
      </c>
      <c r="N502" s="1" t="s">
        <v>20</v>
      </c>
    </row>
    <row r="503" ht="13.5" customHeight="1">
      <c r="A503" s="1">
        <v>19235.0</v>
      </c>
      <c r="B503" s="10" t="s">
        <v>48</v>
      </c>
      <c r="C503" s="10" t="s">
        <v>49</v>
      </c>
      <c r="D503" s="1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tr">
        <f t="shared" si="1"/>
        <v>Middle Aged (31-54)</v>
      </c>
      <c r="N503" s="1" t="s">
        <v>20</v>
      </c>
    </row>
    <row r="504" ht="13.5" customHeight="1">
      <c r="A504" s="1">
        <v>15275.0</v>
      </c>
      <c r="B504" s="10" t="s">
        <v>48</v>
      </c>
      <c r="C504" s="10" t="s">
        <v>50</v>
      </c>
      <c r="D504" s="1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tr">
        <f t="shared" si="1"/>
        <v>Adolescent (0-30)</v>
      </c>
      <c r="N504" s="1" t="s">
        <v>20</v>
      </c>
    </row>
    <row r="505" ht="13.5" customHeight="1">
      <c r="A505" s="1">
        <v>20339.0</v>
      </c>
      <c r="B505" s="10" t="s">
        <v>48</v>
      </c>
      <c r="C505" s="10" t="s">
        <v>49</v>
      </c>
      <c r="D505" s="1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tr">
        <f t="shared" si="1"/>
        <v>Middle Aged (31-54)</v>
      </c>
      <c r="N505" s="1" t="s">
        <v>17</v>
      </c>
    </row>
    <row r="506" ht="13.5" customHeight="1">
      <c r="A506" s="1">
        <v>25405.0</v>
      </c>
      <c r="B506" s="10" t="s">
        <v>48</v>
      </c>
      <c r="C506" s="10" t="s">
        <v>50</v>
      </c>
      <c r="D506" s="1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tr">
        <f t="shared" si="1"/>
        <v>Middle Aged (31-54)</v>
      </c>
      <c r="N506" s="1" t="s">
        <v>17</v>
      </c>
    </row>
    <row r="507" ht="13.5" customHeight="1">
      <c r="A507" s="1">
        <v>15940.0</v>
      </c>
      <c r="B507" s="10" t="s">
        <v>48</v>
      </c>
      <c r="C507" s="10" t="s">
        <v>50</v>
      </c>
      <c r="D507" s="1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tr">
        <f t="shared" si="1"/>
        <v>Middle Aged (31-54)</v>
      </c>
      <c r="N507" s="1" t="s">
        <v>20</v>
      </c>
    </row>
    <row r="508" ht="13.5" customHeight="1">
      <c r="A508" s="1">
        <v>25074.0</v>
      </c>
      <c r="B508" s="10" t="s">
        <v>48</v>
      </c>
      <c r="C508" s="10" t="s">
        <v>49</v>
      </c>
      <c r="D508" s="1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tr">
        <f t="shared" si="1"/>
        <v>Middle Aged (31-54)</v>
      </c>
      <c r="N508" s="1" t="s">
        <v>17</v>
      </c>
    </row>
    <row r="509" ht="13.5" customHeight="1">
      <c r="A509" s="1">
        <v>24738.0</v>
      </c>
      <c r="B509" s="10" t="s">
        <v>48</v>
      </c>
      <c r="C509" s="10" t="s">
        <v>49</v>
      </c>
      <c r="D509" s="1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tr">
        <f t="shared" si="1"/>
        <v>Middle Aged (31-54)</v>
      </c>
      <c r="N509" s="1" t="s">
        <v>17</v>
      </c>
    </row>
    <row r="510" ht="13.5" customHeight="1">
      <c r="A510" s="1">
        <v>16337.0</v>
      </c>
      <c r="B510" s="10" t="s">
        <v>48</v>
      </c>
      <c r="C510" s="10" t="s">
        <v>50</v>
      </c>
      <c r="D510" s="1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tr">
        <f t="shared" si="1"/>
        <v>Adolescent (0-30)</v>
      </c>
      <c r="N510" s="1" t="s">
        <v>20</v>
      </c>
    </row>
    <row r="511" ht="13.5" customHeight="1">
      <c r="A511" s="1">
        <v>24357.0</v>
      </c>
      <c r="B511" s="10" t="s">
        <v>48</v>
      </c>
      <c r="C511" s="10" t="s">
        <v>50</v>
      </c>
      <c r="D511" s="1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tr">
        <f t="shared" si="1"/>
        <v>Middle Aged (31-54)</v>
      </c>
      <c r="N511" s="1" t="s">
        <v>17</v>
      </c>
    </row>
    <row r="512" ht="13.5" customHeight="1">
      <c r="A512" s="1">
        <v>18613.0</v>
      </c>
      <c r="B512" s="10" t="s">
        <v>51</v>
      </c>
      <c r="C512" s="10" t="s">
        <v>50</v>
      </c>
      <c r="D512" s="1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tr">
        <f t="shared" si="1"/>
        <v>Middle Aged (31-54)</v>
      </c>
      <c r="N512" s="1" t="s">
        <v>17</v>
      </c>
    </row>
    <row r="513" ht="13.5" customHeight="1">
      <c r="A513" s="1">
        <v>12207.0</v>
      </c>
      <c r="B513" s="10" t="s">
        <v>51</v>
      </c>
      <c r="C513" s="10" t="s">
        <v>50</v>
      </c>
      <c r="D513" s="1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tr">
        <f t="shared" si="1"/>
        <v>Old (54+)</v>
      </c>
      <c r="N513" s="1" t="s">
        <v>17</v>
      </c>
    </row>
    <row r="514" ht="13.5" customHeight="1">
      <c r="A514" s="1">
        <v>18052.0</v>
      </c>
      <c r="B514" s="10" t="s">
        <v>48</v>
      </c>
      <c r="C514" s="10" t="s">
        <v>49</v>
      </c>
      <c r="D514" s="1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tr">
        <f t="shared" si="1"/>
        <v>Middle Aged (31-54)</v>
      </c>
      <c r="N514" s="1" t="s">
        <v>17</v>
      </c>
    </row>
    <row r="515" ht="13.5" customHeight="1">
      <c r="A515" s="1">
        <v>13353.0</v>
      </c>
      <c r="B515" s="10" t="s">
        <v>51</v>
      </c>
      <c r="C515" s="10" t="s">
        <v>49</v>
      </c>
      <c r="D515" s="1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0" t="s">
        <v>52</v>
      </c>
      <c r="K515" s="1" t="s">
        <v>35</v>
      </c>
      <c r="L515" s="1">
        <v>61.0</v>
      </c>
      <c r="M515" s="1" t="str">
        <f t="shared" si="1"/>
        <v>Old (54+)</v>
      </c>
      <c r="N515" s="1" t="s">
        <v>17</v>
      </c>
    </row>
    <row r="516" ht="13.5" customHeight="1">
      <c r="A516" s="1">
        <v>19399.0</v>
      </c>
      <c r="B516" s="10" t="s">
        <v>51</v>
      </c>
      <c r="C516" s="10" t="s">
        <v>50</v>
      </c>
      <c r="D516" s="1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tr">
        <f t="shared" si="1"/>
        <v>Middle Aged (31-54)</v>
      </c>
      <c r="N516" s="1" t="s">
        <v>20</v>
      </c>
    </row>
    <row r="517" ht="13.5" customHeight="1">
      <c r="A517" s="1">
        <v>16154.0</v>
      </c>
      <c r="B517" s="10" t="s">
        <v>48</v>
      </c>
      <c r="C517" s="10" t="s">
        <v>49</v>
      </c>
      <c r="D517" s="1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tr">
        <f t="shared" si="1"/>
        <v>Middle Aged (31-54)</v>
      </c>
      <c r="N517" s="1" t="s">
        <v>20</v>
      </c>
    </row>
    <row r="518" ht="13.5" customHeight="1">
      <c r="A518" s="1">
        <v>22219.0</v>
      </c>
      <c r="B518" s="10" t="s">
        <v>48</v>
      </c>
      <c r="C518" s="10" t="s">
        <v>49</v>
      </c>
      <c r="D518" s="1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tr">
        <f t="shared" si="1"/>
        <v>Middle Aged (31-54)</v>
      </c>
      <c r="N518" s="1" t="s">
        <v>20</v>
      </c>
    </row>
    <row r="519" ht="13.5" customHeight="1">
      <c r="A519" s="1">
        <v>17269.0</v>
      </c>
      <c r="B519" s="10" t="s">
        <v>51</v>
      </c>
      <c r="C519" s="10" t="s">
        <v>50</v>
      </c>
      <c r="D519" s="1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tr">
        <f t="shared" si="1"/>
        <v>Middle Aged (31-54)</v>
      </c>
      <c r="N519" s="1" t="s">
        <v>17</v>
      </c>
    </row>
    <row r="520" ht="13.5" customHeight="1">
      <c r="A520" s="1">
        <v>23586.0</v>
      </c>
      <c r="B520" s="10" t="s">
        <v>48</v>
      </c>
      <c r="C520" s="10" t="s">
        <v>49</v>
      </c>
      <c r="D520" s="1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tr">
        <f t="shared" si="1"/>
        <v>Middle Aged (31-54)</v>
      </c>
      <c r="N520" s="1" t="s">
        <v>17</v>
      </c>
    </row>
    <row r="521" ht="13.5" customHeight="1">
      <c r="A521" s="1">
        <v>15740.0</v>
      </c>
      <c r="B521" s="10" t="s">
        <v>48</v>
      </c>
      <c r="C521" s="10" t="s">
        <v>50</v>
      </c>
      <c r="D521" s="1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tr">
        <f t="shared" si="1"/>
        <v>Old (54+)</v>
      </c>
      <c r="N521" s="1" t="s">
        <v>20</v>
      </c>
    </row>
    <row r="522" ht="13.5" customHeight="1">
      <c r="A522" s="1">
        <v>27638.0</v>
      </c>
      <c r="B522" s="10" t="s">
        <v>51</v>
      </c>
      <c r="C522" s="10" t="s">
        <v>50</v>
      </c>
      <c r="D522" s="1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tr">
        <f t="shared" si="1"/>
        <v>Middle Aged (31-54)</v>
      </c>
      <c r="N522" s="1" t="s">
        <v>20</v>
      </c>
    </row>
    <row r="523" ht="13.5" customHeight="1">
      <c r="A523" s="1">
        <v>18976.0</v>
      </c>
      <c r="B523" s="10" t="s">
        <v>51</v>
      </c>
      <c r="C523" s="10" t="s">
        <v>50</v>
      </c>
      <c r="D523" s="1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0" t="s">
        <v>52</v>
      </c>
      <c r="K523" s="1" t="s">
        <v>35</v>
      </c>
      <c r="L523" s="1">
        <v>62.0</v>
      </c>
      <c r="M523" s="1" t="str">
        <f t="shared" si="1"/>
        <v>Old (54+)</v>
      </c>
      <c r="N523" s="1" t="s">
        <v>17</v>
      </c>
    </row>
    <row r="524" ht="13.5" customHeight="1">
      <c r="A524" s="1">
        <v>19413.0</v>
      </c>
      <c r="B524" s="10" t="s">
        <v>51</v>
      </c>
      <c r="C524" s="10" t="s">
        <v>50</v>
      </c>
      <c r="D524" s="1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tr">
        <f t="shared" si="1"/>
        <v>Middle Aged (31-54)</v>
      </c>
      <c r="N524" s="1" t="s">
        <v>17</v>
      </c>
    </row>
    <row r="525" ht="13.5" customHeight="1">
      <c r="A525" s="1">
        <v>13283.0</v>
      </c>
      <c r="B525" s="10" t="s">
        <v>48</v>
      </c>
      <c r="C525" s="10" t="s">
        <v>50</v>
      </c>
      <c r="D525" s="1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tr">
        <f t="shared" si="1"/>
        <v>Middle Aged (31-54)</v>
      </c>
      <c r="N525" s="1" t="s">
        <v>17</v>
      </c>
    </row>
    <row r="526" ht="13.5" customHeight="1">
      <c r="A526" s="1">
        <v>17471.0</v>
      </c>
      <c r="B526" s="10" t="s">
        <v>51</v>
      </c>
      <c r="C526" s="10" t="s">
        <v>49</v>
      </c>
      <c r="D526" s="1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tr">
        <f t="shared" si="1"/>
        <v>Old (54+)</v>
      </c>
      <c r="N526" s="1" t="s">
        <v>20</v>
      </c>
    </row>
    <row r="527" ht="13.5" customHeight="1">
      <c r="A527" s="1">
        <v>16791.0</v>
      </c>
      <c r="B527" s="10" t="s">
        <v>51</v>
      </c>
      <c r="C527" s="10" t="s">
        <v>50</v>
      </c>
      <c r="D527" s="1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0" t="s">
        <v>52</v>
      </c>
      <c r="K527" s="1" t="s">
        <v>35</v>
      </c>
      <c r="L527" s="1">
        <v>59.0</v>
      </c>
      <c r="M527" s="1" t="str">
        <f t="shared" si="1"/>
        <v>Old (54+)</v>
      </c>
      <c r="N527" s="1" t="s">
        <v>17</v>
      </c>
    </row>
    <row r="528" ht="13.5" customHeight="1">
      <c r="A528" s="1">
        <v>15382.0</v>
      </c>
      <c r="B528" s="10" t="s">
        <v>48</v>
      </c>
      <c r="C528" s="10" t="s">
        <v>49</v>
      </c>
      <c r="D528" s="1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tr">
        <f t="shared" si="1"/>
        <v>Middle Aged (31-54)</v>
      </c>
      <c r="N528" s="1" t="s">
        <v>20</v>
      </c>
    </row>
    <row r="529" ht="13.5" customHeight="1">
      <c r="A529" s="1">
        <v>11641.0</v>
      </c>
      <c r="B529" s="10" t="s">
        <v>48</v>
      </c>
      <c r="C529" s="10" t="s">
        <v>50</v>
      </c>
      <c r="D529" s="1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tr">
        <f t="shared" si="1"/>
        <v>Middle Aged (31-54)</v>
      </c>
      <c r="N529" s="1" t="s">
        <v>20</v>
      </c>
    </row>
    <row r="530" ht="13.5" customHeight="1">
      <c r="A530" s="1">
        <v>11935.0</v>
      </c>
      <c r="B530" s="10" t="s">
        <v>51</v>
      </c>
      <c r="C530" s="10" t="s">
        <v>49</v>
      </c>
      <c r="D530" s="1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tr">
        <f t="shared" si="1"/>
        <v>Adolescent (0-30)</v>
      </c>
      <c r="N530" s="1" t="s">
        <v>20</v>
      </c>
    </row>
    <row r="531" ht="13.5" customHeight="1">
      <c r="A531" s="1">
        <v>13233.0</v>
      </c>
      <c r="B531" s="10" t="s">
        <v>48</v>
      </c>
      <c r="C531" s="10" t="s">
        <v>50</v>
      </c>
      <c r="D531" s="1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0" t="s">
        <v>52</v>
      </c>
      <c r="K531" s="1" t="s">
        <v>35</v>
      </c>
      <c r="L531" s="1">
        <v>57.0</v>
      </c>
      <c r="M531" s="1" t="str">
        <f t="shared" si="1"/>
        <v>Old (54+)</v>
      </c>
      <c r="N531" s="1" t="s">
        <v>17</v>
      </c>
    </row>
    <row r="532" ht="13.5" customHeight="1">
      <c r="A532" s="1">
        <v>25909.0</v>
      </c>
      <c r="B532" s="10" t="s">
        <v>48</v>
      </c>
      <c r="C532" s="10" t="s">
        <v>50</v>
      </c>
      <c r="D532" s="1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tr">
        <f t="shared" si="1"/>
        <v>Adolescent (0-30)</v>
      </c>
      <c r="N532" s="1" t="s">
        <v>17</v>
      </c>
    </row>
    <row r="533" ht="13.5" customHeight="1">
      <c r="A533" s="1">
        <v>14092.0</v>
      </c>
      <c r="B533" s="10" t="s">
        <v>51</v>
      </c>
      <c r="C533" s="10" t="s">
        <v>50</v>
      </c>
      <c r="D533" s="1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tr">
        <f t="shared" si="1"/>
        <v>Adolescent (0-30)</v>
      </c>
      <c r="N533" s="1" t="s">
        <v>20</v>
      </c>
    </row>
    <row r="534" ht="13.5" customHeight="1">
      <c r="A534" s="1">
        <v>29143.0</v>
      </c>
      <c r="B534" s="10" t="s">
        <v>51</v>
      </c>
      <c r="C534" s="10" t="s">
        <v>49</v>
      </c>
      <c r="D534" s="1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tr">
        <f t="shared" si="1"/>
        <v>Middle Aged (31-54)</v>
      </c>
      <c r="N534" s="1" t="s">
        <v>17</v>
      </c>
    </row>
    <row r="535" ht="13.5" customHeight="1">
      <c r="A535" s="1">
        <v>24941.0</v>
      </c>
      <c r="B535" s="10" t="s">
        <v>48</v>
      </c>
      <c r="C535" s="10" t="s">
        <v>50</v>
      </c>
      <c r="D535" s="1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0" t="s">
        <v>52</v>
      </c>
      <c r="K535" s="1" t="s">
        <v>35</v>
      </c>
      <c r="L535" s="1">
        <v>66.0</v>
      </c>
      <c r="M535" s="1" t="str">
        <f t="shared" si="1"/>
        <v>Old (54+)</v>
      </c>
      <c r="N535" s="1" t="s">
        <v>20</v>
      </c>
    </row>
    <row r="536" ht="13.5" customHeight="1">
      <c r="A536" s="1">
        <v>24637.0</v>
      </c>
      <c r="B536" s="10" t="s">
        <v>48</v>
      </c>
      <c r="C536" s="10" t="s">
        <v>50</v>
      </c>
      <c r="D536" s="1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0" t="s">
        <v>52</v>
      </c>
      <c r="K536" s="1" t="s">
        <v>35</v>
      </c>
      <c r="L536" s="1">
        <v>64.0</v>
      </c>
      <c r="M536" s="1" t="str">
        <f t="shared" si="1"/>
        <v>Old (54+)</v>
      </c>
      <c r="N536" s="1" t="s">
        <v>20</v>
      </c>
    </row>
    <row r="537" ht="13.5" customHeight="1">
      <c r="A537" s="1">
        <v>23893.0</v>
      </c>
      <c r="B537" s="10" t="s">
        <v>48</v>
      </c>
      <c r="C537" s="10" t="s">
        <v>50</v>
      </c>
      <c r="D537" s="1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0" t="s">
        <v>52</v>
      </c>
      <c r="K537" s="1" t="s">
        <v>35</v>
      </c>
      <c r="L537" s="1">
        <v>41.0</v>
      </c>
      <c r="M537" s="1" t="str">
        <f t="shared" si="1"/>
        <v>Middle Aged (31-54)</v>
      </c>
      <c r="N537" s="1" t="s">
        <v>20</v>
      </c>
    </row>
    <row r="538" ht="13.5" customHeight="1">
      <c r="A538" s="1">
        <v>13907.0</v>
      </c>
      <c r="B538" s="10" t="s">
        <v>51</v>
      </c>
      <c r="C538" s="10" t="s">
        <v>49</v>
      </c>
      <c r="D538" s="1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tr">
        <f t="shared" si="1"/>
        <v>Middle Aged (31-54)</v>
      </c>
      <c r="N538" s="1" t="s">
        <v>17</v>
      </c>
    </row>
    <row r="539" ht="13.5" customHeight="1">
      <c r="A539" s="1">
        <v>14900.0</v>
      </c>
      <c r="B539" s="10" t="s">
        <v>48</v>
      </c>
      <c r="C539" s="10" t="s">
        <v>49</v>
      </c>
      <c r="D539" s="1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tr">
        <f t="shared" si="1"/>
        <v>Middle Aged (31-54)</v>
      </c>
      <c r="N539" s="1" t="s">
        <v>17</v>
      </c>
    </row>
    <row r="540" ht="13.5" customHeight="1">
      <c r="A540" s="1">
        <v>11262.0</v>
      </c>
      <c r="B540" s="10" t="s">
        <v>48</v>
      </c>
      <c r="C540" s="10" t="s">
        <v>49</v>
      </c>
      <c r="D540" s="1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tr">
        <f t="shared" si="1"/>
        <v>Middle Aged (31-54)</v>
      </c>
      <c r="N540" s="1" t="s">
        <v>20</v>
      </c>
    </row>
    <row r="541" ht="13.5" customHeight="1">
      <c r="A541" s="1">
        <v>22294.0</v>
      </c>
      <c r="B541" s="10" t="s">
        <v>51</v>
      </c>
      <c r="C541" s="10" t="s">
        <v>49</v>
      </c>
      <c r="D541" s="1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tr">
        <f t="shared" si="1"/>
        <v>Middle Aged (31-54)</v>
      </c>
      <c r="N541" s="1" t="s">
        <v>17</v>
      </c>
    </row>
    <row r="542" ht="13.5" customHeight="1">
      <c r="A542" s="1">
        <v>12195.0</v>
      </c>
      <c r="B542" s="10" t="s">
        <v>51</v>
      </c>
      <c r="C542" s="10" t="s">
        <v>49</v>
      </c>
      <c r="D542" s="1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tr">
        <f t="shared" si="1"/>
        <v>Middle Aged (31-54)</v>
      </c>
      <c r="N542" s="1" t="s">
        <v>20</v>
      </c>
    </row>
    <row r="543" ht="13.5" customHeight="1">
      <c r="A543" s="1">
        <v>25375.0</v>
      </c>
      <c r="B543" s="10" t="s">
        <v>48</v>
      </c>
      <c r="C543" s="10" t="s">
        <v>50</v>
      </c>
      <c r="D543" s="1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tr">
        <f t="shared" si="1"/>
        <v>Middle Aged (31-54)</v>
      </c>
      <c r="N543" s="1" t="s">
        <v>20</v>
      </c>
    </row>
    <row r="544" ht="13.5" customHeight="1">
      <c r="A544" s="1">
        <v>11143.0</v>
      </c>
      <c r="B544" s="10" t="s">
        <v>48</v>
      </c>
      <c r="C544" s="10" t="s">
        <v>50</v>
      </c>
      <c r="D544" s="1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tr">
        <f t="shared" si="1"/>
        <v>Adolescent (0-30)</v>
      </c>
      <c r="N544" s="1" t="s">
        <v>20</v>
      </c>
    </row>
    <row r="545" ht="13.5" customHeight="1">
      <c r="A545" s="1">
        <v>25898.0</v>
      </c>
      <c r="B545" s="10" t="s">
        <v>48</v>
      </c>
      <c r="C545" s="10" t="s">
        <v>49</v>
      </c>
      <c r="D545" s="1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tr">
        <f t="shared" si="1"/>
        <v>Middle Aged (31-54)</v>
      </c>
      <c r="N545" s="1" t="s">
        <v>20</v>
      </c>
    </row>
    <row r="546" ht="13.5" customHeight="1">
      <c r="A546" s="1">
        <v>24397.0</v>
      </c>
      <c r="B546" s="10" t="s">
        <v>51</v>
      </c>
      <c r="C546" s="10" t="s">
        <v>50</v>
      </c>
      <c r="D546" s="1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tr">
        <f t="shared" si="1"/>
        <v>Middle Aged (31-54)</v>
      </c>
      <c r="N546" s="1" t="s">
        <v>20</v>
      </c>
    </row>
    <row r="547" ht="13.5" customHeight="1">
      <c r="A547" s="1">
        <v>19758.0</v>
      </c>
      <c r="B547" s="10" t="s">
        <v>51</v>
      </c>
      <c r="C547" s="10" t="s">
        <v>50</v>
      </c>
      <c r="D547" s="1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tr">
        <f t="shared" si="1"/>
        <v>Adolescent (0-30)</v>
      </c>
      <c r="N547" s="1" t="s">
        <v>20</v>
      </c>
    </row>
    <row r="548" ht="13.5" customHeight="1">
      <c r="A548" s="1">
        <v>15529.0</v>
      </c>
      <c r="B548" s="10" t="s">
        <v>48</v>
      </c>
      <c r="C548" s="10" t="s">
        <v>50</v>
      </c>
      <c r="D548" s="1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tr">
        <f t="shared" si="1"/>
        <v>Middle Aged (31-54)</v>
      </c>
      <c r="N548" s="1" t="s">
        <v>17</v>
      </c>
    </row>
    <row r="549" ht="13.5" customHeight="1">
      <c r="A549" s="1">
        <v>19884.0</v>
      </c>
      <c r="B549" s="10" t="s">
        <v>48</v>
      </c>
      <c r="C549" s="10" t="s">
        <v>50</v>
      </c>
      <c r="D549" s="1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tr">
        <f t="shared" si="1"/>
        <v>Old (54+)</v>
      </c>
      <c r="N549" s="1" t="s">
        <v>17</v>
      </c>
    </row>
    <row r="550" ht="13.5" customHeight="1">
      <c r="A550" s="1">
        <v>18674.0</v>
      </c>
      <c r="B550" s="10" t="s">
        <v>51</v>
      </c>
      <c r="C550" s="10" t="s">
        <v>49</v>
      </c>
      <c r="D550" s="1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tr">
        <f t="shared" si="1"/>
        <v>Middle Aged (31-54)</v>
      </c>
      <c r="N550" s="1" t="s">
        <v>20</v>
      </c>
    </row>
    <row r="551" ht="13.5" customHeight="1">
      <c r="A551" s="1">
        <v>13453.0</v>
      </c>
      <c r="B551" s="10" t="s">
        <v>48</v>
      </c>
      <c r="C551" s="10" t="s">
        <v>49</v>
      </c>
      <c r="D551" s="1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tr">
        <f t="shared" si="1"/>
        <v>Middle Aged (31-54)</v>
      </c>
      <c r="N551" s="1" t="s">
        <v>17</v>
      </c>
    </row>
    <row r="552" ht="13.5" customHeight="1">
      <c r="A552" s="1">
        <v>14063.0</v>
      </c>
      <c r="B552" s="10" t="s">
        <v>51</v>
      </c>
      <c r="C552" s="10" t="s">
        <v>49</v>
      </c>
      <c r="D552" s="1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tr">
        <f t="shared" si="1"/>
        <v>Middle Aged (31-54)</v>
      </c>
      <c r="N552" s="1" t="s">
        <v>17</v>
      </c>
    </row>
    <row r="553" ht="13.5" customHeight="1">
      <c r="A553" s="1">
        <v>27393.0</v>
      </c>
      <c r="B553" s="10" t="s">
        <v>48</v>
      </c>
      <c r="C553" s="10" t="s">
        <v>49</v>
      </c>
      <c r="D553" s="1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0" t="s">
        <v>52</v>
      </c>
      <c r="K553" s="1" t="s">
        <v>35</v>
      </c>
      <c r="L553" s="1">
        <v>63.0</v>
      </c>
      <c r="M553" s="1" t="str">
        <f t="shared" si="1"/>
        <v>Old (54+)</v>
      </c>
      <c r="N553" s="1" t="s">
        <v>20</v>
      </c>
    </row>
    <row r="554" ht="13.5" customHeight="1">
      <c r="A554" s="1">
        <v>14417.0</v>
      </c>
      <c r="B554" s="10" t="s">
        <v>51</v>
      </c>
      <c r="C554" s="10" t="s">
        <v>50</v>
      </c>
      <c r="D554" s="1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0" t="s">
        <v>52</v>
      </c>
      <c r="K554" s="1" t="s">
        <v>35</v>
      </c>
      <c r="L554" s="1">
        <v>54.0</v>
      </c>
      <c r="M554" s="1" t="str">
        <f t="shared" si="1"/>
        <v>Middle Aged (31-54)</v>
      </c>
      <c r="N554" s="1" t="s">
        <v>17</v>
      </c>
    </row>
    <row r="555" ht="13.5" customHeight="1">
      <c r="A555" s="1">
        <v>17533.0</v>
      </c>
      <c r="B555" s="10" t="s">
        <v>48</v>
      </c>
      <c r="C555" s="10" t="s">
        <v>50</v>
      </c>
      <c r="D555" s="1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tr">
        <f t="shared" si="1"/>
        <v>Old (54+)</v>
      </c>
      <c r="N555" s="1" t="s">
        <v>17</v>
      </c>
    </row>
    <row r="556" ht="13.5" customHeight="1">
      <c r="A556" s="1">
        <v>18580.0</v>
      </c>
      <c r="B556" s="10" t="s">
        <v>48</v>
      </c>
      <c r="C556" s="10" t="s">
        <v>49</v>
      </c>
      <c r="D556" s="1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tr">
        <f t="shared" si="1"/>
        <v>Middle Aged (31-54)</v>
      </c>
      <c r="N556" s="1" t="s">
        <v>17</v>
      </c>
    </row>
    <row r="557" ht="13.5" customHeight="1">
      <c r="A557" s="1">
        <v>17025.0</v>
      </c>
      <c r="B557" s="10" t="s">
        <v>51</v>
      </c>
      <c r="C557" s="10" t="s">
        <v>50</v>
      </c>
      <c r="D557" s="1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tr">
        <f t="shared" si="1"/>
        <v>Middle Aged (31-54)</v>
      </c>
      <c r="N557" s="1" t="s">
        <v>17</v>
      </c>
    </row>
    <row r="558" ht="13.5" customHeight="1">
      <c r="A558" s="1">
        <v>25293.0</v>
      </c>
      <c r="B558" s="10" t="s">
        <v>48</v>
      </c>
      <c r="C558" s="10" t="s">
        <v>50</v>
      </c>
      <c r="D558" s="1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tr">
        <f t="shared" si="1"/>
        <v>Middle Aged (31-54)</v>
      </c>
      <c r="N558" s="1" t="s">
        <v>20</v>
      </c>
    </row>
    <row r="559" ht="13.5" customHeight="1">
      <c r="A559" s="1">
        <v>24725.0</v>
      </c>
      <c r="B559" s="10" t="s">
        <v>48</v>
      </c>
      <c r="C559" s="10" t="s">
        <v>49</v>
      </c>
      <c r="D559" s="1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tr">
        <f t="shared" si="1"/>
        <v>Middle Aged (31-54)</v>
      </c>
      <c r="N559" s="1" t="s">
        <v>20</v>
      </c>
    </row>
    <row r="560" ht="13.5" customHeight="1">
      <c r="A560" s="1">
        <v>23200.0</v>
      </c>
      <c r="B560" s="10" t="s">
        <v>48</v>
      </c>
      <c r="C560" s="10" t="s">
        <v>49</v>
      </c>
      <c r="D560" s="1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tr">
        <f t="shared" si="1"/>
        <v>Middle Aged (31-54)</v>
      </c>
      <c r="N560" s="1" t="s">
        <v>20</v>
      </c>
    </row>
    <row r="561" ht="13.5" customHeight="1">
      <c r="A561" s="1">
        <v>15895.0</v>
      </c>
      <c r="B561" s="10" t="s">
        <v>51</v>
      </c>
      <c r="C561" s="10" t="s">
        <v>49</v>
      </c>
      <c r="D561" s="1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0" t="s">
        <v>52</v>
      </c>
      <c r="K561" s="1" t="s">
        <v>35</v>
      </c>
      <c r="L561" s="1">
        <v>58.0</v>
      </c>
      <c r="M561" s="1" t="str">
        <f t="shared" si="1"/>
        <v>Old (54+)</v>
      </c>
      <c r="N561" s="1" t="s">
        <v>20</v>
      </c>
    </row>
    <row r="562" ht="13.5" customHeight="1">
      <c r="A562" s="1">
        <v>18577.0</v>
      </c>
      <c r="B562" s="10" t="s">
        <v>48</v>
      </c>
      <c r="C562" s="10" t="s">
        <v>49</v>
      </c>
      <c r="D562" s="1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tr">
        <f t="shared" si="1"/>
        <v>Middle Aged (31-54)</v>
      </c>
      <c r="N562" s="1" t="s">
        <v>20</v>
      </c>
    </row>
    <row r="563" ht="13.5" customHeight="1">
      <c r="A563" s="1">
        <v>27218.0</v>
      </c>
      <c r="B563" s="10" t="s">
        <v>48</v>
      </c>
      <c r="C563" s="10" t="s">
        <v>49</v>
      </c>
      <c r="D563" s="1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tr">
        <f t="shared" si="1"/>
        <v>Middle Aged (31-54)</v>
      </c>
      <c r="N563" s="1" t="s">
        <v>20</v>
      </c>
    </row>
    <row r="564" ht="13.5" customHeight="1">
      <c r="A564" s="1">
        <v>18560.0</v>
      </c>
      <c r="B564" s="10" t="s">
        <v>48</v>
      </c>
      <c r="C564" s="10" t="s">
        <v>49</v>
      </c>
      <c r="D564" s="1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tr">
        <f t="shared" si="1"/>
        <v>Middle Aged (31-54)</v>
      </c>
      <c r="N564" s="1" t="s">
        <v>17</v>
      </c>
    </row>
    <row r="565" ht="13.5" customHeight="1">
      <c r="A565" s="1">
        <v>25006.0</v>
      </c>
      <c r="B565" s="10" t="s">
        <v>51</v>
      </c>
      <c r="C565" s="10" t="s">
        <v>49</v>
      </c>
      <c r="D565" s="1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tr">
        <f t="shared" si="1"/>
        <v>Adolescent (0-30)</v>
      </c>
      <c r="N565" s="1" t="s">
        <v>20</v>
      </c>
    </row>
    <row r="566" ht="13.5" customHeight="1">
      <c r="A566" s="1">
        <v>17369.0</v>
      </c>
      <c r="B566" s="10" t="s">
        <v>51</v>
      </c>
      <c r="C566" s="10" t="s">
        <v>50</v>
      </c>
      <c r="D566" s="1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tr">
        <f t="shared" si="1"/>
        <v>Adolescent (0-30)</v>
      </c>
      <c r="N566" s="1" t="s">
        <v>20</v>
      </c>
    </row>
    <row r="567" ht="13.5" customHeight="1">
      <c r="A567" s="1">
        <v>14495.0</v>
      </c>
      <c r="B567" s="10" t="s">
        <v>48</v>
      </c>
      <c r="C567" s="10" t="s">
        <v>50</v>
      </c>
      <c r="D567" s="1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tr">
        <f t="shared" si="1"/>
        <v>Middle Aged (31-54)</v>
      </c>
      <c r="N567" s="1" t="s">
        <v>17</v>
      </c>
    </row>
    <row r="568" ht="13.5" customHeight="1">
      <c r="A568" s="1">
        <v>18847.0</v>
      </c>
      <c r="B568" s="10" t="s">
        <v>48</v>
      </c>
      <c r="C568" s="10" t="s">
        <v>49</v>
      </c>
      <c r="D568" s="1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tr">
        <f t="shared" si="1"/>
        <v>Old (54+)</v>
      </c>
      <c r="N568" s="1" t="s">
        <v>20</v>
      </c>
    </row>
    <row r="569" ht="13.5" customHeight="1">
      <c r="A569" s="1">
        <v>14754.0</v>
      </c>
      <c r="B569" s="10" t="s">
        <v>48</v>
      </c>
      <c r="C569" s="10" t="s">
        <v>50</v>
      </c>
      <c r="D569" s="1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tr">
        <f t="shared" si="1"/>
        <v>Middle Aged (31-54)</v>
      </c>
      <c r="N569" s="1" t="s">
        <v>17</v>
      </c>
    </row>
    <row r="570" ht="13.5" customHeight="1">
      <c r="A570" s="1">
        <v>23378.0</v>
      </c>
      <c r="B570" s="10" t="s">
        <v>48</v>
      </c>
      <c r="C570" s="10" t="s">
        <v>50</v>
      </c>
      <c r="D570" s="1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tr">
        <f t="shared" si="1"/>
        <v>Middle Aged (31-54)</v>
      </c>
      <c r="N570" s="1" t="s">
        <v>17</v>
      </c>
    </row>
    <row r="571" ht="13.5" customHeight="1">
      <c r="A571" s="1">
        <v>26452.0</v>
      </c>
      <c r="B571" s="10" t="s">
        <v>51</v>
      </c>
      <c r="C571" s="10" t="s">
        <v>50</v>
      </c>
      <c r="D571" s="1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0" t="s">
        <v>52</v>
      </c>
      <c r="K571" s="1" t="s">
        <v>35</v>
      </c>
      <c r="L571" s="1">
        <v>69.0</v>
      </c>
      <c r="M571" s="1" t="str">
        <f t="shared" si="1"/>
        <v>Old (54+)</v>
      </c>
      <c r="N571" s="1" t="s">
        <v>20</v>
      </c>
    </row>
    <row r="572" ht="13.5" customHeight="1">
      <c r="A572" s="1">
        <v>20370.0</v>
      </c>
      <c r="B572" s="10" t="s">
        <v>48</v>
      </c>
      <c r="C572" s="10" t="s">
        <v>50</v>
      </c>
      <c r="D572" s="1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tr">
        <f t="shared" si="1"/>
        <v>Middle Aged (31-54)</v>
      </c>
      <c r="N572" s="1" t="s">
        <v>20</v>
      </c>
    </row>
    <row r="573" ht="13.5" customHeight="1">
      <c r="A573" s="1">
        <v>20528.0</v>
      </c>
      <c r="B573" s="10" t="s">
        <v>48</v>
      </c>
      <c r="C573" s="10" t="s">
        <v>50</v>
      </c>
      <c r="D573" s="1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tr">
        <f t="shared" si="1"/>
        <v>Old (54+)</v>
      </c>
      <c r="N573" s="1" t="s">
        <v>20</v>
      </c>
    </row>
    <row r="574" ht="13.5" customHeight="1">
      <c r="A574" s="1">
        <v>23549.0</v>
      </c>
      <c r="B574" s="10" t="s">
        <v>51</v>
      </c>
      <c r="C574" s="10" t="s">
        <v>50</v>
      </c>
      <c r="D574" s="1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tr">
        <f t="shared" si="1"/>
        <v>Adolescent (0-30)</v>
      </c>
      <c r="N574" s="1" t="s">
        <v>20</v>
      </c>
    </row>
    <row r="575" ht="13.5" customHeight="1">
      <c r="A575" s="1">
        <v>21751.0</v>
      </c>
      <c r="B575" s="10" t="s">
        <v>48</v>
      </c>
      <c r="C575" s="10" t="s">
        <v>50</v>
      </c>
      <c r="D575" s="1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tr">
        <f t="shared" si="1"/>
        <v>Old (54+)</v>
      </c>
      <c r="N575" s="1" t="s">
        <v>20</v>
      </c>
    </row>
    <row r="576" ht="13.5" customHeight="1">
      <c r="A576" s="1">
        <v>21266.0</v>
      </c>
      <c r="B576" s="10" t="s">
        <v>51</v>
      </c>
      <c r="C576" s="10" t="s">
        <v>49</v>
      </c>
      <c r="D576" s="1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tr">
        <f t="shared" si="1"/>
        <v>Middle Aged (31-54)</v>
      </c>
      <c r="N576" s="1" t="s">
        <v>17</v>
      </c>
    </row>
    <row r="577" ht="13.5" customHeight="1">
      <c r="A577" s="1">
        <v>13388.0</v>
      </c>
      <c r="B577" s="10" t="s">
        <v>51</v>
      </c>
      <c r="C577" s="10" t="s">
        <v>50</v>
      </c>
      <c r="D577" s="1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0" t="s">
        <v>52</v>
      </c>
      <c r="K577" s="1" t="s">
        <v>35</v>
      </c>
      <c r="L577" s="1">
        <v>56.0</v>
      </c>
      <c r="M577" s="1" t="str">
        <f t="shared" si="1"/>
        <v>Old (54+)</v>
      </c>
      <c r="N577" s="1" t="s">
        <v>20</v>
      </c>
    </row>
    <row r="578" ht="13.5" customHeight="1">
      <c r="A578" s="1">
        <v>18752.0</v>
      </c>
      <c r="B578" s="10" t="s">
        <v>51</v>
      </c>
      <c r="C578" s="10" t="s">
        <v>49</v>
      </c>
      <c r="D578" s="1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tr">
        <f t="shared" si="1"/>
        <v>Middle Aged (31-54)</v>
      </c>
      <c r="N578" s="1" t="s">
        <v>20</v>
      </c>
    </row>
    <row r="579" ht="13.5" customHeight="1">
      <c r="A579" s="1">
        <v>16917.0</v>
      </c>
      <c r="B579" s="10" t="s">
        <v>48</v>
      </c>
      <c r="C579" s="10" t="s">
        <v>50</v>
      </c>
      <c r="D579" s="1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tr">
        <f t="shared" si="1"/>
        <v>Middle Aged (31-54)</v>
      </c>
      <c r="N579" s="1" t="s">
        <v>20</v>
      </c>
    </row>
    <row r="580" ht="13.5" customHeight="1">
      <c r="A580" s="1">
        <v>15313.0</v>
      </c>
      <c r="B580" s="10" t="s">
        <v>48</v>
      </c>
      <c r="C580" s="10" t="s">
        <v>50</v>
      </c>
      <c r="D580" s="1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tr">
        <f t="shared" si="1"/>
        <v>Old (54+)</v>
      </c>
      <c r="N580" s="1" t="s">
        <v>20</v>
      </c>
    </row>
    <row r="581" ht="13.5" customHeight="1">
      <c r="A581" s="1">
        <v>25329.0</v>
      </c>
      <c r="B581" s="10" t="s">
        <v>51</v>
      </c>
      <c r="C581" s="10" t="s">
        <v>49</v>
      </c>
      <c r="D581" s="1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tr">
        <f t="shared" si="1"/>
        <v>Middle Aged (31-54)</v>
      </c>
      <c r="N581" s="1" t="s">
        <v>20</v>
      </c>
    </row>
    <row r="582" ht="13.5" customHeight="1">
      <c r="A582" s="1">
        <v>20380.0</v>
      </c>
      <c r="B582" s="10" t="s">
        <v>48</v>
      </c>
      <c r="C582" s="10" t="s">
        <v>49</v>
      </c>
      <c r="D582" s="1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0" t="s">
        <v>52</v>
      </c>
      <c r="K582" s="1" t="s">
        <v>35</v>
      </c>
      <c r="L582" s="1">
        <v>69.0</v>
      </c>
      <c r="M582" s="1" t="str">
        <f t="shared" si="1"/>
        <v>Old (54+)</v>
      </c>
      <c r="N582" s="1" t="s">
        <v>20</v>
      </c>
    </row>
    <row r="583" ht="13.5" customHeight="1">
      <c r="A583" s="1">
        <v>23089.0</v>
      </c>
      <c r="B583" s="10" t="s">
        <v>48</v>
      </c>
      <c r="C583" s="10" t="s">
        <v>50</v>
      </c>
      <c r="D583" s="1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tr">
        <f t="shared" si="1"/>
        <v>Adolescent (0-30)</v>
      </c>
      <c r="N583" s="1" t="s">
        <v>20</v>
      </c>
    </row>
    <row r="584" ht="13.5" customHeight="1">
      <c r="A584" s="1">
        <v>13749.0</v>
      </c>
      <c r="B584" s="10" t="s">
        <v>48</v>
      </c>
      <c r="C584" s="10" t="s">
        <v>50</v>
      </c>
      <c r="D584" s="1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tr">
        <f t="shared" si="1"/>
        <v>Middle Aged (31-54)</v>
      </c>
      <c r="N584" s="1" t="s">
        <v>20</v>
      </c>
    </row>
    <row r="585" ht="13.5" customHeight="1">
      <c r="A585" s="1">
        <v>24943.0</v>
      </c>
      <c r="B585" s="10" t="s">
        <v>48</v>
      </c>
      <c r="C585" s="10" t="s">
        <v>50</v>
      </c>
      <c r="D585" s="1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0" t="s">
        <v>52</v>
      </c>
      <c r="K585" s="1" t="s">
        <v>35</v>
      </c>
      <c r="L585" s="1">
        <v>66.0</v>
      </c>
      <c r="M585" s="1" t="str">
        <f t="shared" si="1"/>
        <v>Old (54+)</v>
      </c>
      <c r="N585" s="1" t="s">
        <v>20</v>
      </c>
    </row>
    <row r="586" ht="13.5" customHeight="1">
      <c r="A586" s="1">
        <v>28667.0</v>
      </c>
      <c r="B586" s="10" t="s">
        <v>51</v>
      </c>
      <c r="C586" s="10" t="s">
        <v>50</v>
      </c>
      <c r="D586" s="1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tr">
        <f t="shared" si="1"/>
        <v>Middle Aged (31-54)</v>
      </c>
      <c r="N586" s="1" t="s">
        <v>17</v>
      </c>
    </row>
    <row r="587" ht="13.5" customHeight="1">
      <c r="A587" s="1">
        <v>15194.0</v>
      </c>
      <c r="B587" s="10" t="s">
        <v>51</v>
      </c>
      <c r="C587" s="10" t="s">
        <v>50</v>
      </c>
      <c r="D587" s="1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tr">
        <f t="shared" si="1"/>
        <v>Middle Aged (31-54)</v>
      </c>
      <c r="N587" s="1" t="s">
        <v>17</v>
      </c>
    </row>
    <row r="588" ht="13.5" customHeight="1">
      <c r="A588" s="1">
        <v>17436.0</v>
      </c>
      <c r="B588" s="10" t="s">
        <v>48</v>
      </c>
      <c r="C588" s="10" t="s">
        <v>50</v>
      </c>
      <c r="D588" s="1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tr">
        <f t="shared" si="1"/>
        <v>Middle Aged (31-54)</v>
      </c>
      <c r="N588" s="1" t="s">
        <v>20</v>
      </c>
    </row>
    <row r="589" ht="13.5" customHeight="1">
      <c r="A589" s="1">
        <v>18935.0</v>
      </c>
      <c r="B589" s="10" t="s">
        <v>48</v>
      </c>
      <c r="C589" s="10" t="s">
        <v>49</v>
      </c>
      <c r="D589" s="1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tr">
        <f t="shared" si="1"/>
        <v>Middle Aged (31-54)</v>
      </c>
      <c r="N589" s="1" t="s">
        <v>20</v>
      </c>
    </row>
    <row r="590" ht="13.5" customHeight="1">
      <c r="A590" s="1">
        <v>16871.0</v>
      </c>
      <c r="B590" s="10" t="s">
        <v>48</v>
      </c>
      <c r="C590" s="10" t="s">
        <v>49</v>
      </c>
      <c r="D590" s="1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0" t="s">
        <v>52</v>
      </c>
      <c r="K590" s="1" t="s">
        <v>35</v>
      </c>
      <c r="L590" s="1">
        <v>51.0</v>
      </c>
      <c r="M590" s="1" t="str">
        <f t="shared" si="1"/>
        <v>Middle Aged (31-54)</v>
      </c>
      <c r="N590" s="1" t="s">
        <v>17</v>
      </c>
    </row>
    <row r="591" ht="13.5" customHeight="1">
      <c r="A591" s="1">
        <v>12100.0</v>
      </c>
      <c r="B591" s="10" t="s">
        <v>51</v>
      </c>
      <c r="C591" s="10" t="s">
        <v>50</v>
      </c>
      <c r="D591" s="1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0" t="s">
        <v>52</v>
      </c>
      <c r="K591" s="1" t="s">
        <v>35</v>
      </c>
      <c r="L591" s="1">
        <v>57.0</v>
      </c>
      <c r="M591" s="1" t="str">
        <f t="shared" si="1"/>
        <v>Old (54+)</v>
      </c>
      <c r="N591" s="1" t="s">
        <v>20</v>
      </c>
    </row>
    <row r="592" ht="13.5" customHeight="1">
      <c r="A592" s="1">
        <v>23158.0</v>
      </c>
      <c r="B592" s="10" t="s">
        <v>48</v>
      </c>
      <c r="C592" s="10" t="s">
        <v>49</v>
      </c>
      <c r="D592" s="1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tr">
        <f t="shared" si="1"/>
        <v>Middle Aged (31-54)</v>
      </c>
      <c r="N592" s="1" t="s">
        <v>17</v>
      </c>
    </row>
    <row r="593" ht="13.5" customHeight="1">
      <c r="A593" s="1">
        <v>18545.0</v>
      </c>
      <c r="B593" s="10" t="s">
        <v>48</v>
      </c>
      <c r="C593" s="10" t="s">
        <v>50</v>
      </c>
      <c r="D593" s="1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0" t="s">
        <v>52</v>
      </c>
      <c r="K593" s="1" t="s">
        <v>35</v>
      </c>
      <c r="L593" s="1">
        <v>61.0</v>
      </c>
      <c r="M593" s="1" t="str">
        <f t="shared" si="1"/>
        <v>Old (54+)</v>
      </c>
      <c r="N593" s="1" t="s">
        <v>17</v>
      </c>
    </row>
    <row r="594" ht="13.5" customHeight="1">
      <c r="A594" s="1">
        <v>18391.0</v>
      </c>
      <c r="B594" s="10" t="s">
        <v>51</v>
      </c>
      <c r="C594" s="10" t="s">
        <v>49</v>
      </c>
      <c r="D594" s="1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tr">
        <f t="shared" si="1"/>
        <v>Middle Aged (31-54)</v>
      </c>
      <c r="N594" s="1" t="s">
        <v>20</v>
      </c>
    </row>
    <row r="595" ht="13.5" customHeight="1">
      <c r="A595" s="1">
        <v>19812.0</v>
      </c>
      <c r="B595" s="10" t="s">
        <v>51</v>
      </c>
      <c r="C595" s="10" t="s">
        <v>49</v>
      </c>
      <c r="D595" s="1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tr">
        <f t="shared" si="1"/>
        <v>Middle Aged (31-54)</v>
      </c>
      <c r="N595" s="1" t="s">
        <v>17</v>
      </c>
    </row>
    <row r="596" ht="13.5" customHeight="1">
      <c r="A596" s="1">
        <v>27660.0</v>
      </c>
      <c r="B596" s="10" t="s">
        <v>48</v>
      </c>
      <c r="C596" s="10" t="s">
        <v>50</v>
      </c>
      <c r="D596" s="1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tr">
        <f t="shared" si="1"/>
        <v>Old (54+)</v>
      </c>
      <c r="N596" s="1" t="s">
        <v>20</v>
      </c>
    </row>
    <row r="597" ht="13.5" customHeight="1">
      <c r="A597" s="1">
        <v>18058.0</v>
      </c>
      <c r="B597" s="10" t="s">
        <v>51</v>
      </c>
      <c r="C597" s="10" t="s">
        <v>49</v>
      </c>
      <c r="D597" s="1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tr">
        <f t="shared" si="1"/>
        <v>Old (54+)</v>
      </c>
      <c r="N597" s="1" t="s">
        <v>20</v>
      </c>
    </row>
    <row r="598" ht="13.5" customHeight="1">
      <c r="A598" s="1">
        <v>20343.0</v>
      </c>
      <c r="B598" s="10" t="s">
        <v>48</v>
      </c>
      <c r="C598" s="10" t="s">
        <v>49</v>
      </c>
      <c r="D598" s="1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tr">
        <f t="shared" si="1"/>
        <v>Middle Aged (31-54)</v>
      </c>
      <c r="N598" s="1" t="s">
        <v>20</v>
      </c>
    </row>
    <row r="599" ht="13.5" customHeight="1">
      <c r="A599" s="1">
        <v>28997.0</v>
      </c>
      <c r="B599" s="10" t="s">
        <v>51</v>
      </c>
      <c r="C599" s="10" t="s">
        <v>50</v>
      </c>
      <c r="D599" s="1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tr">
        <f t="shared" si="1"/>
        <v>Old (54+)</v>
      </c>
      <c r="N599" s="1" t="s">
        <v>17</v>
      </c>
    </row>
    <row r="600" ht="13.5" customHeight="1">
      <c r="A600" s="1">
        <v>24398.0</v>
      </c>
      <c r="B600" s="10" t="s">
        <v>48</v>
      </c>
      <c r="C600" s="10" t="s">
        <v>50</v>
      </c>
      <c r="D600" s="1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tr">
        <f t="shared" si="1"/>
        <v>Middle Aged (31-54)</v>
      </c>
      <c r="N600" s="1" t="s">
        <v>20</v>
      </c>
    </row>
    <row r="601" ht="13.5" customHeight="1">
      <c r="A601" s="1">
        <v>19002.0</v>
      </c>
      <c r="B601" s="10" t="s">
        <v>48</v>
      </c>
      <c r="C601" s="10" t="s">
        <v>49</v>
      </c>
      <c r="D601" s="1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tr">
        <f t="shared" si="1"/>
        <v>Old (54+)</v>
      </c>
      <c r="N601" s="1" t="s">
        <v>17</v>
      </c>
    </row>
    <row r="602" ht="13.5" customHeight="1">
      <c r="A602" s="1">
        <v>28609.0</v>
      </c>
      <c r="B602" s="10" t="s">
        <v>48</v>
      </c>
      <c r="C602" s="10" t="s">
        <v>50</v>
      </c>
      <c r="D602" s="1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tr">
        <f t="shared" si="1"/>
        <v>Middle Aged (31-54)</v>
      </c>
      <c r="N602" s="1" t="s">
        <v>20</v>
      </c>
    </row>
    <row r="603" ht="13.5" customHeight="1">
      <c r="A603" s="1">
        <v>29231.0</v>
      </c>
      <c r="B603" s="10" t="s">
        <v>51</v>
      </c>
      <c r="C603" s="10" t="s">
        <v>50</v>
      </c>
      <c r="D603" s="1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tr">
        <f t="shared" si="1"/>
        <v>Middle Aged (31-54)</v>
      </c>
      <c r="N603" s="1" t="s">
        <v>20</v>
      </c>
    </row>
    <row r="604" ht="13.5" customHeight="1">
      <c r="A604" s="1">
        <v>18858.0</v>
      </c>
      <c r="B604" s="10" t="s">
        <v>51</v>
      </c>
      <c r="C604" s="10" t="s">
        <v>50</v>
      </c>
      <c r="D604" s="1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tr">
        <f t="shared" si="1"/>
        <v>Middle Aged (31-54)</v>
      </c>
      <c r="N604" s="1" t="s">
        <v>17</v>
      </c>
    </row>
    <row r="605" ht="13.5" customHeight="1">
      <c r="A605" s="1">
        <v>20000.0</v>
      </c>
      <c r="B605" s="10" t="s">
        <v>48</v>
      </c>
      <c r="C605" s="10" t="s">
        <v>50</v>
      </c>
      <c r="D605" s="1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tr">
        <f t="shared" si="1"/>
        <v>Middle Aged (31-54)</v>
      </c>
      <c r="N605" s="1" t="s">
        <v>17</v>
      </c>
    </row>
    <row r="606" ht="13.5" customHeight="1">
      <c r="A606" s="1">
        <v>25261.0</v>
      </c>
      <c r="B606" s="10" t="s">
        <v>48</v>
      </c>
      <c r="C606" s="10" t="s">
        <v>50</v>
      </c>
      <c r="D606" s="1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tr">
        <f t="shared" si="1"/>
        <v>Adolescent (0-30)</v>
      </c>
      <c r="N606" s="1" t="s">
        <v>20</v>
      </c>
    </row>
    <row r="607" ht="13.5" customHeight="1">
      <c r="A607" s="1">
        <v>17458.0</v>
      </c>
      <c r="B607" s="10" t="s">
        <v>51</v>
      </c>
      <c r="C607" s="10" t="s">
        <v>50</v>
      </c>
      <c r="D607" s="1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tr">
        <f t="shared" si="1"/>
        <v>Middle Aged (31-54)</v>
      </c>
      <c r="N607" s="1" t="s">
        <v>17</v>
      </c>
    </row>
    <row r="608" ht="13.5" customHeight="1">
      <c r="A608" s="1">
        <v>11644.0</v>
      </c>
      <c r="B608" s="10" t="s">
        <v>51</v>
      </c>
      <c r="C608" s="10" t="s">
        <v>50</v>
      </c>
      <c r="D608" s="1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tr">
        <f t="shared" si="1"/>
        <v>Middle Aged (31-54)</v>
      </c>
      <c r="N608" s="1" t="s">
        <v>20</v>
      </c>
    </row>
    <row r="609" ht="13.5" customHeight="1">
      <c r="A609" s="1">
        <v>16145.0</v>
      </c>
      <c r="B609" s="10" t="s">
        <v>51</v>
      </c>
      <c r="C609" s="10" t="s">
        <v>49</v>
      </c>
      <c r="D609" s="1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0" t="s">
        <v>52</v>
      </c>
      <c r="K609" s="1" t="s">
        <v>35</v>
      </c>
      <c r="L609" s="1">
        <v>46.0</v>
      </c>
      <c r="M609" s="1" t="str">
        <f t="shared" si="1"/>
        <v>Middle Aged (31-54)</v>
      </c>
      <c r="N609" s="1" t="s">
        <v>17</v>
      </c>
    </row>
    <row r="610" ht="13.5" customHeight="1">
      <c r="A610" s="1">
        <v>16890.0</v>
      </c>
      <c r="B610" s="10" t="s">
        <v>48</v>
      </c>
      <c r="C610" s="10" t="s">
        <v>50</v>
      </c>
      <c r="D610" s="1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tr">
        <f t="shared" si="1"/>
        <v>Middle Aged (31-54)</v>
      </c>
      <c r="N610" s="1" t="s">
        <v>17</v>
      </c>
    </row>
    <row r="611" ht="13.5" customHeight="1">
      <c r="A611" s="1">
        <v>25983.0</v>
      </c>
      <c r="B611" s="10" t="s">
        <v>48</v>
      </c>
      <c r="C611" s="10" t="s">
        <v>50</v>
      </c>
      <c r="D611" s="1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tr">
        <f t="shared" si="1"/>
        <v>Middle Aged (31-54)</v>
      </c>
      <c r="N611" s="1" t="s">
        <v>20</v>
      </c>
    </row>
    <row r="612" ht="13.5" customHeight="1">
      <c r="A612" s="1">
        <v>14633.0</v>
      </c>
      <c r="B612" s="10" t="s">
        <v>48</v>
      </c>
      <c r="C612" s="10" t="s">
        <v>50</v>
      </c>
      <c r="D612" s="1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tr">
        <f t="shared" si="1"/>
        <v>Middle Aged (31-54)</v>
      </c>
      <c r="N612" s="1" t="s">
        <v>20</v>
      </c>
    </row>
    <row r="613" ht="13.5" customHeight="1">
      <c r="A613" s="1">
        <v>22994.0</v>
      </c>
      <c r="B613" s="10" t="s">
        <v>48</v>
      </c>
      <c r="C613" s="10" t="s">
        <v>49</v>
      </c>
      <c r="D613" s="1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tr">
        <f t="shared" si="1"/>
        <v>Middle Aged (31-54)</v>
      </c>
      <c r="N613" s="1" t="s">
        <v>17</v>
      </c>
    </row>
    <row r="614" ht="13.5" customHeight="1">
      <c r="A614" s="1">
        <v>22983.0</v>
      </c>
      <c r="B614" s="10" t="s">
        <v>51</v>
      </c>
      <c r="C614" s="10" t="s">
        <v>49</v>
      </c>
      <c r="D614" s="1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tr">
        <f t="shared" si="1"/>
        <v>Adolescent (0-30)</v>
      </c>
      <c r="N614" s="1" t="s">
        <v>20</v>
      </c>
    </row>
    <row r="615" ht="13.5" customHeight="1">
      <c r="A615" s="1">
        <v>25184.0</v>
      </c>
      <c r="B615" s="10" t="s">
        <v>51</v>
      </c>
      <c r="C615" s="10" t="s">
        <v>50</v>
      </c>
      <c r="D615" s="1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tr">
        <f t="shared" si="1"/>
        <v>Middle Aged (31-54)</v>
      </c>
      <c r="N615" s="1" t="s">
        <v>17</v>
      </c>
    </row>
    <row r="616" ht="13.5" customHeight="1">
      <c r="A616" s="1">
        <v>14469.0</v>
      </c>
      <c r="B616" s="10" t="s">
        <v>48</v>
      </c>
      <c r="C616" s="10" t="s">
        <v>49</v>
      </c>
      <c r="D616" s="1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tr">
        <f t="shared" si="1"/>
        <v>Middle Aged (31-54)</v>
      </c>
      <c r="N616" s="1" t="s">
        <v>20</v>
      </c>
    </row>
    <row r="617" ht="13.5" customHeight="1">
      <c r="A617" s="1">
        <v>11538.0</v>
      </c>
      <c r="B617" s="10" t="s">
        <v>51</v>
      </c>
      <c r="C617" s="10" t="s">
        <v>49</v>
      </c>
      <c r="D617" s="1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tr">
        <f t="shared" si="1"/>
        <v>Middle Aged (31-54)</v>
      </c>
      <c r="N617" s="1" t="s">
        <v>17</v>
      </c>
    </row>
    <row r="618" ht="13.5" customHeight="1">
      <c r="A618" s="1">
        <v>16245.0</v>
      </c>
      <c r="B618" s="10" t="s">
        <v>51</v>
      </c>
      <c r="C618" s="10" t="s">
        <v>49</v>
      </c>
      <c r="D618" s="1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tr">
        <f t="shared" si="1"/>
        <v>Middle Aged (31-54)</v>
      </c>
      <c r="N618" s="1" t="s">
        <v>20</v>
      </c>
    </row>
    <row r="619" ht="13.5" customHeight="1">
      <c r="A619" s="1">
        <v>17858.0</v>
      </c>
      <c r="B619" s="10" t="s">
        <v>48</v>
      </c>
      <c r="C619" s="10" t="s">
        <v>50</v>
      </c>
      <c r="D619" s="1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tr">
        <f t="shared" si="1"/>
        <v>Middle Aged (31-54)</v>
      </c>
      <c r="N619" s="1" t="s">
        <v>17</v>
      </c>
    </row>
    <row r="620" ht="13.5" customHeight="1">
      <c r="A620" s="1">
        <v>25347.0</v>
      </c>
      <c r="B620" s="10" t="s">
        <v>51</v>
      </c>
      <c r="C620" s="10" t="s">
        <v>49</v>
      </c>
      <c r="D620" s="1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tr">
        <f t="shared" si="1"/>
        <v>Middle Aged (31-54)</v>
      </c>
      <c r="N620" s="1" t="s">
        <v>20</v>
      </c>
    </row>
    <row r="621" ht="13.5" customHeight="1">
      <c r="A621" s="1">
        <v>15814.0</v>
      </c>
      <c r="B621" s="10" t="s">
        <v>51</v>
      </c>
      <c r="C621" s="10" t="s">
        <v>49</v>
      </c>
      <c r="D621" s="1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tr">
        <f t="shared" si="1"/>
        <v>Adolescent (0-30)</v>
      </c>
      <c r="N621" s="1" t="s">
        <v>20</v>
      </c>
    </row>
    <row r="622" ht="13.5" customHeight="1">
      <c r="A622" s="1">
        <v>11259.0</v>
      </c>
      <c r="B622" s="10" t="s">
        <v>48</v>
      </c>
      <c r="C622" s="10" t="s">
        <v>49</v>
      </c>
      <c r="D622" s="1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tr">
        <f t="shared" si="1"/>
        <v>Middle Aged (31-54)</v>
      </c>
      <c r="N622" s="1" t="s">
        <v>17</v>
      </c>
    </row>
    <row r="623" ht="13.5" customHeight="1">
      <c r="A623" s="1">
        <v>11200.0</v>
      </c>
      <c r="B623" s="10" t="s">
        <v>48</v>
      </c>
      <c r="C623" s="10" t="s">
        <v>50</v>
      </c>
      <c r="D623" s="1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tr">
        <f t="shared" si="1"/>
        <v>Old (54+)</v>
      </c>
      <c r="N623" s="1" t="s">
        <v>20</v>
      </c>
    </row>
    <row r="624" ht="13.5" customHeight="1">
      <c r="A624" s="1">
        <v>25101.0</v>
      </c>
      <c r="B624" s="10" t="s">
        <v>48</v>
      </c>
      <c r="C624" s="10" t="s">
        <v>50</v>
      </c>
      <c r="D624" s="1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tr">
        <f t="shared" si="1"/>
        <v>Middle Aged (31-54)</v>
      </c>
      <c r="N624" s="1" t="s">
        <v>20</v>
      </c>
    </row>
    <row r="625" ht="13.5" customHeight="1">
      <c r="A625" s="1">
        <v>21801.0</v>
      </c>
      <c r="B625" s="10" t="s">
        <v>48</v>
      </c>
      <c r="C625" s="10" t="s">
        <v>49</v>
      </c>
      <c r="D625" s="1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tr">
        <f t="shared" si="1"/>
        <v>Old (54+)</v>
      </c>
      <c r="N625" s="1" t="s">
        <v>20</v>
      </c>
    </row>
    <row r="626" ht="13.5" customHeight="1">
      <c r="A626" s="1">
        <v>25943.0</v>
      </c>
      <c r="B626" s="10" t="s">
        <v>51</v>
      </c>
      <c r="C626" s="10" t="s">
        <v>49</v>
      </c>
      <c r="D626" s="1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tr">
        <f t="shared" si="1"/>
        <v>Adolescent (0-30)</v>
      </c>
      <c r="N626" s="1" t="s">
        <v>17</v>
      </c>
    </row>
    <row r="627" ht="13.5" customHeight="1">
      <c r="A627" s="1">
        <v>22127.0</v>
      </c>
      <c r="B627" s="10" t="s">
        <v>48</v>
      </c>
      <c r="C627" s="10" t="s">
        <v>50</v>
      </c>
      <c r="D627" s="1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tr">
        <f t="shared" si="1"/>
        <v>Old (54+)</v>
      </c>
      <c r="N627" s="1" t="s">
        <v>20</v>
      </c>
    </row>
    <row r="628" ht="13.5" customHeight="1">
      <c r="A628" s="1">
        <v>20414.0</v>
      </c>
      <c r="B628" s="10" t="s">
        <v>48</v>
      </c>
      <c r="C628" s="10" t="s">
        <v>49</v>
      </c>
      <c r="D628" s="1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tr">
        <f t="shared" si="1"/>
        <v>Adolescent (0-30)</v>
      </c>
      <c r="N628" s="1" t="s">
        <v>20</v>
      </c>
    </row>
    <row r="629" ht="13.5" customHeight="1">
      <c r="A629" s="1">
        <v>23672.0</v>
      </c>
      <c r="B629" s="10" t="s">
        <v>48</v>
      </c>
      <c r="C629" s="10" t="s">
        <v>49</v>
      </c>
      <c r="D629" s="1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tr">
        <f t="shared" si="1"/>
        <v>Old (54+)</v>
      </c>
      <c r="N629" s="1" t="s">
        <v>20</v>
      </c>
    </row>
    <row r="630" ht="13.5" customHeight="1">
      <c r="A630" s="1">
        <v>29255.0</v>
      </c>
      <c r="B630" s="10" t="s">
        <v>51</v>
      </c>
      <c r="C630" s="10" t="s">
        <v>50</v>
      </c>
      <c r="D630" s="1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tr">
        <f t="shared" si="1"/>
        <v>Middle Aged (31-54)</v>
      </c>
      <c r="N630" s="1" t="s">
        <v>17</v>
      </c>
    </row>
    <row r="631" ht="13.5" customHeight="1">
      <c r="A631" s="1">
        <v>28815.0</v>
      </c>
      <c r="B631" s="10" t="s">
        <v>48</v>
      </c>
      <c r="C631" s="10" t="s">
        <v>49</v>
      </c>
      <c r="D631" s="1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tr">
        <f t="shared" si="1"/>
        <v>Middle Aged (31-54)</v>
      </c>
      <c r="N631" s="1" t="s">
        <v>20</v>
      </c>
    </row>
    <row r="632" ht="13.5" customHeight="1">
      <c r="A632" s="1">
        <v>27753.0</v>
      </c>
      <c r="B632" s="10" t="s">
        <v>48</v>
      </c>
      <c r="C632" s="10" t="s">
        <v>50</v>
      </c>
      <c r="D632" s="1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tr">
        <f t="shared" si="1"/>
        <v>Adolescent (0-30)</v>
      </c>
      <c r="N632" s="1" t="s">
        <v>20</v>
      </c>
    </row>
    <row r="633" ht="13.5" customHeight="1">
      <c r="A633" s="1">
        <v>27643.0</v>
      </c>
      <c r="B633" s="10" t="s">
        <v>51</v>
      </c>
      <c r="C633" s="10" t="s">
        <v>50</v>
      </c>
      <c r="D633" s="1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tr">
        <f t="shared" si="1"/>
        <v>Middle Aged (31-54)</v>
      </c>
      <c r="N633" s="1" t="s">
        <v>20</v>
      </c>
    </row>
    <row r="634" ht="13.5" customHeight="1">
      <c r="A634" s="1">
        <v>13754.0</v>
      </c>
      <c r="B634" s="10" t="s">
        <v>51</v>
      </c>
      <c r="C634" s="10" t="s">
        <v>49</v>
      </c>
      <c r="D634" s="1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tr">
        <f t="shared" si="1"/>
        <v>Middle Aged (31-54)</v>
      </c>
      <c r="N634" s="1" t="s">
        <v>20</v>
      </c>
    </row>
    <row r="635" ht="13.5" customHeight="1">
      <c r="A635" s="1">
        <v>22088.0</v>
      </c>
      <c r="B635" s="10" t="s">
        <v>48</v>
      </c>
      <c r="C635" s="10" t="s">
        <v>49</v>
      </c>
      <c r="D635" s="1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tr">
        <f t="shared" si="1"/>
        <v>Middle Aged (31-54)</v>
      </c>
      <c r="N635" s="1" t="s">
        <v>17</v>
      </c>
    </row>
    <row r="636" ht="13.5" customHeight="1">
      <c r="A636" s="1">
        <v>27388.0</v>
      </c>
      <c r="B636" s="10" t="s">
        <v>48</v>
      </c>
      <c r="C636" s="10" t="s">
        <v>50</v>
      </c>
      <c r="D636" s="1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tr">
        <f t="shared" si="1"/>
        <v>Old (54+)</v>
      </c>
      <c r="N636" s="1" t="s">
        <v>20</v>
      </c>
    </row>
    <row r="637" ht="13.5" customHeight="1">
      <c r="A637" s="1">
        <v>24745.0</v>
      </c>
      <c r="B637" s="10" t="s">
        <v>51</v>
      </c>
      <c r="C637" s="10" t="s">
        <v>49</v>
      </c>
      <c r="D637" s="1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tr">
        <f t="shared" si="1"/>
        <v>Middle Aged (31-54)</v>
      </c>
      <c r="N637" s="1" t="s">
        <v>20</v>
      </c>
    </row>
    <row r="638" ht="13.5" customHeight="1">
      <c r="A638" s="1">
        <v>29237.0</v>
      </c>
      <c r="B638" s="10" t="s">
        <v>51</v>
      </c>
      <c r="C638" s="10" t="s">
        <v>49</v>
      </c>
      <c r="D638" s="1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tr">
        <f t="shared" si="1"/>
        <v>Middle Aged (31-54)</v>
      </c>
      <c r="N638" s="1" t="s">
        <v>17</v>
      </c>
    </row>
    <row r="639" ht="13.5" customHeight="1">
      <c r="A639" s="1">
        <v>15272.0</v>
      </c>
      <c r="B639" s="10" t="s">
        <v>51</v>
      </c>
      <c r="C639" s="10" t="s">
        <v>50</v>
      </c>
      <c r="D639" s="1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tr">
        <f t="shared" si="1"/>
        <v>Adolescent (0-30)</v>
      </c>
      <c r="N639" s="1" t="s">
        <v>20</v>
      </c>
    </row>
    <row r="640" ht="13.5" customHeight="1">
      <c r="A640" s="1">
        <v>18949.0</v>
      </c>
      <c r="B640" s="10" t="s">
        <v>51</v>
      </c>
      <c r="C640" s="10" t="s">
        <v>50</v>
      </c>
      <c r="D640" s="1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tr">
        <f t="shared" si="1"/>
        <v>Old (54+)</v>
      </c>
      <c r="N640" s="1" t="s">
        <v>17</v>
      </c>
    </row>
    <row r="641" ht="13.5" customHeight="1">
      <c r="A641" s="1">
        <v>14507.0</v>
      </c>
      <c r="B641" s="10" t="s">
        <v>48</v>
      </c>
      <c r="C641" s="10" t="s">
        <v>50</v>
      </c>
      <c r="D641" s="1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tr">
        <f t="shared" si="1"/>
        <v>Old (54+)</v>
      </c>
      <c r="N641" s="1" t="s">
        <v>20</v>
      </c>
    </row>
    <row r="642" ht="13.5" customHeight="1">
      <c r="A642" s="1">
        <v>25886.0</v>
      </c>
      <c r="B642" s="10" t="s">
        <v>48</v>
      </c>
      <c r="C642" s="10" t="s">
        <v>49</v>
      </c>
      <c r="D642" s="1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tr">
        <f t="shared" si="1"/>
        <v>Old (54+)</v>
      </c>
      <c r="N642" s="1" t="s">
        <v>17</v>
      </c>
    </row>
    <row r="643" ht="13.5" customHeight="1">
      <c r="A643" s="1">
        <v>21441.0</v>
      </c>
      <c r="B643" s="10" t="s">
        <v>48</v>
      </c>
      <c r="C643" s="10" t="s">
        <v>50</v>
      </c>
      <c r="D643" s="1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0" t="s">
        <v>52</v>
      </c>
      <c r="K643" s="1" t="s">
        <v>35</v>
      </c>
      <c r="L643" s="1">
        <v>64.0</v>
      </c>
      <c r="M643" s="1" t="str">
        <f t="shared" si="1"/>
        <v>Old (54+)</v>
      </c>
      <c r="N643" s="1" t="s">
        <v>20</v>
      </c>
    </row>
    <row r="644" ht="13.5" customHeight="1">
      <c r="A644" s="1">
        <v>21741.0</v>
      </c>
      <c r="B644" s="10" t="s">
        <v>48</v>
      </c>
      <c r="C644" s="10" t="s">
        <v>49</v>
      </c>
      <c r="D644" s="1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tr">
        <f t="shared" si="1"/>
        <v>Middle Aged (31-54)</v>
      </c>
      <c r="N644" s="1" t="s">
        <v>17</v>
      </c>
    </row>
    <row r="645" ht="13.5" customHeight="1">
      <c r="A645" s="1">
        <v>14572.0</v>
      </c>
      <c r="B645" s="10" t="s">
        <v>48</v>
      </c>
      <c r="C645" s="10" t="s">
        <v>49</v>
      </c>
      <c r="D645" s="1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tr">
        <f t="shared" si="1"/>
        <v>Middle Aged (31-54)</v>
      </c>
      <c r="N645" s="1" t="s">
        <v>17</v>
      </c>
    </row>
    <row r="646" ht="13.5" customHeight="1">
      <c r="A646" s="1">
        <v>23368.0</v>
      </c>
      <c r="B646" s="10" t="s">
        <v>48</v>
      </c>
      <c r="C646" s="10" t="s">
        <v>49</v>
      </c>
      <c r="D646" s="1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0" t="s">
        <v>52</v>
      </c>
      <c r="K646" s="1" t="s">
        <v>35</v>
      </c>
      <c r="L646" s="1">
        <v>41.0</v>
      </c>
      <c r="M646" s="1" t="str">
        <f t="shared" si="1"/>
        <v>Middle Aged (31-54)</v>
      </c>
      <c r="N646" s="1" t="s">
        <v>20</v>
      </c>
    </row>
    <row r="647" ht="13.5" customHeight="1">
      <c r="A647" s="1">
        <v>16217.0</v>
      </c>
      <c r="B647" s="10" t="s">
        <v>51</v>
      </c>
      <c r="C647" s="10" t="s">
        <v>49</v>
      </c>
      <c r="D647" s="1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tr">
        <f t="shared" si="1"/>
        <v>Middle Aged (31-54)</v>
      </c>
      <c r="N647" s="1" t="s">
        <v>20</v>
      </c>
    </row>
    <row r="648" ht="13.5" customHeight="1">
      <c r="A648" s="1">
        <v>16247.0</v>
      </c>
      <c r="B648" s="10" t="s">
        <v>51</v>
      </c>
      <c r="C648" s="10" t="s">
        <v>49</v>
      </c>
      <c r="D648" s="1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tr">
        <f t="shared" si="1"/>
        <v>Middle Aged (31-54)</v>
      </c>
      <c r="N648" s="1" t="s">
        <v>20</v>
      </c>
    </row>
    <row r="649" ht="13.5" customHeight="1">
      <c r="A649" s="1">
        <v>22010.0</v>
      </c>
      <c r="B649" s="10" t="s">
        <v>51</v>
      </c>
      <c r="C649" s="10" t="s">
        <v>50</v>
      </c>
      <c r="D649" s="1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tr">
        <f t="shared" si="1"/>
        <v>Middle Aged (31-54)</v>
      </c>
      <c r="N649" s="1" t="s">
        <v>20</v>
      </c>
    </row>
    <row r="650" ht="13.5" customHeight="1">
      <c r="A650" s="1">
        <v>25872.0</v>
      </c>
      <c r="B650" s="10" t="s">
        <v>51</v>
      </c>
      <c r="C650" s="10" t="s">
        <v>49</v>
      </c>
      <c r="D650" s="1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tr">
        <f t="shared" si="1"/>
        <v>Old (54+)</v>
      </c>
      <c r="N650" s="1" t="s">
        <v>17</v>
      </c>
    </row>
    <row r="651" ht="13.5" customHeight="1">
      <c r="A651" s="1">
        <v>19164.0</v>
      </c>
      <c r="B651" s="10" t="s">
        <v>51</v>
      </c>
      <c r="C651" s="10" t="s">
        <v>49</v>
      </c>
      <c r="D651" s="1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tr">
        <f t="shared" si="1"/>
        <v>Middle Aged (31-54)</v>
      </c>
      <c r="N651" s="1" t="s">
        <v>17</v>
      </c>
    </row>
    <row r="652" ht="13.5" customHeight="1">
      <c r="A652" s="1">
        <v>18435.0</v>
      </c>
      <c r="B652" s="10" t="s">
        <v>51</v>
      </c>
      <c r="C652" s="10" t="s">
        <v>49</v>
      </c>
      <c r="D652" s="1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0" t="s">
        <v>52</v>
      </c>
      <c r="K652" s="1" t="s">
        <v>35</v>
      </c>
      <c r="L652" s="1">
        <v>67.0</v>
      </c>
      <c r="M652" s="1" t="str">
        <f t="shared" si="1"/>
        <v>Old (54+)</v>
      </c>
      <c r="N652" s="1" t="s">
        <v>17</v>
      </c>
    </row>
    <row r="653" ht="13.5" customHeight="1">
      <c r="A653" s="1">
        <v>14284.0</v>
      </c>
      <c r="B653" s="10" t="s">
        <v>51</v>
      </c>
      <c r="C653" s="10" t="s">
        <v>50</v>
      </c>
      <c r="D653" s="1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tr">
        <f t="shared" si="1"/>
        <v>Middle Aged (31-54)</v>
      </c>
      <c r="N653" s="1" t="s">
        <v>17</v>
      </c>
    </row>
    <row r="654" ht="13.5" customHeight="1">
      <c r="A654" s="1">
        <v>11287.0</v>
      </c>
      <c r="B654" s="10" t="s">
        <v>48</v>
      </c>
      <c r="C654" s="10" t="s">
        <v>50</v>
      </c>
      <c r="D654" s="1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tr">
        <f t="shared" si="1"/>
        <v>Middle Aged (31-54)</v>
      </c>
      <c r="N654" s="1" t="s">
        <v>20</v>
      </c>
    </row>
    <row r="655" ht="13.5" customHeight="1">
      <c r="A655" s="1">
        <v>13066.0</v>
      </c>
      <c r="B655" s="10" t="s">
        <v>51</v>
      </c>
      <c r="C655" s="10" t="s">
        <v>50</v>
      </c>
      <c r="D655" s="1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tr">
        <f t="shared" si="1"/>
        <v>Middle Aged (31-54)</v>
      </c>
      <c r="N655" s="1" t="s">
        <v>17</v>
      </c>
    </row>
    <row r="656" ht="13.5" customHeight="1">
      <c r="A656" s="1">
        <v>29106.0</v>
      </c>
      <c r="B656" s="10" t="s">
        <v>51</v>
      </c>
      <c r="C656" s="10" t="s">
        <v>50</v>
      </c>
      <c r="D656" s="1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tr">
        <f t="shared" si="1"/>
        <v>Middle Aged (31-54)</v>
      </c>
      <c r="N656" s="1" t="s">
        <v>17</v>
      </c>
    </row>
    <row r="657" ht="13.5" customHeight="1">
      <c r="A657" s="1">
        <v>26236.0</v>
      </c>
      <c r="B657" s="10" t="s">
        <v>48</v>
      </c>
      <c r="C657" s="10" t="s">
        <v>49</v>
      </c>
      <c r="D657" s="1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tr">
        <f t="shared" si="1"/>
        <v>Middle Aged (31-54)</v>
      </c>
      <c r="N657" s="1" t="s">
        <v>20</v>
      </c>
    </row>
    <row r="658" ht="13.5" customHeight="1">
      <c r="A658" s="1">
        <v>17531.0</v>
      </c>
      <c r="B658" s="10" t="s">
        <v>48</v>
      </c>
      <c r="C658" s="10" t="s">
        <v>50</v>
      </c>
      <c r="D658" s="1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tr">
        <f t="shared" si="1"/>
        <v>Middle Aged (31-54)</v>
      </c>
      <c r="N658" s="1" t="s">
        <v>20</v>
      </c>
    </row>
    <row r="659" ht="13.5" customHeight="1">
      <c r="A659" s="1">
        <v>12964.0</v>
      </c>
      <c r="B659" s="10" t="s">
        <v>48</v>
      </c>
      <c r="C659" s="10" t="s">
        <v>50</v>
      </c>
      <c r="D659" s="1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tr">
        <f t="shared" si="1"/>
        <v>Middle Aged (31-54)</v>
      </c>
      <c r="N659" s="1" t="s">
        <v>20</v>
      </c>
    </row>
    <row r="660" ht="13.5" customHeight="1">
      <c r="A660" s="1">
        <v>19133.0</v>
      </c>
      <c r="B660" s="10" t="s">
        <v>51</v>
      </c>
      <c r="C660" s="10" t="s">
        <v>50</v>
      </c>
      <c r="D660" s="1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tr">
        <f t="shared" si="1"/>
        <v>Middle Aged (31-54)</v>
      </c>
      <c r="N660" s="1" t="s">
        <v>17</v>
      </c>
    </row>
    <row r="661" ht="13.5" customHeight="1">
      <c r="A661" s="1">
        <v>24643.0</v>
      </c>
      <c r="B661" s="10" t="s">
        <v>51</v>
      </c>
      <c r="C661" s="10" t="s">
        <v>49</v>
      </c>
      <c r="D661" s="1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0" t="s">
        <v>52</v>
      </c>
      <c r="K661" s="1" t="s">
        <v>35</v>
      </c>
      <c r="L661" s="1">
        <v>63.0</v>
      </c>
      <c r="M661" s="1" t="str">
        <f t="shared" si="1"/>
        <v>Old (54+)</v>
      </c>
      <c r="N661" s="1" t="s">
        <v>20</v>
      </c>
    </row>
    <row r="662" ht="13.5" customHeight="1">
      <c r="A662" s="1">
        <v>21599.0</v>
      </c>
      <c r="B662" s="10" t="s">
        <v>48</v>
      </c>
      <c r="C662" s="10" t="s">
        <v>49</v>
      </c>
      <c r="D662" s="1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tr">
        <f t="shared" si="1"/>
        <v>Middle Aged (31-54)</v>
      </c>
      <c r="N662" s="1" t="s">
        <v>17</v>
      </c>
    </row>
    <row r="663" ht="13.5" customHeight="1">
      <c r="A663" s="1">
        <v>22976.0</v>
      </c>
      <c r="B663" s="10" t="s">
        <v>51</v>
      </c>
      <c r="C663" s="10" t="s">
        <v>50</v>
      </c>
      <c r="D663" s="1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tr">
        <f t="shared" si="1"/>
        <v>Adolescent (0-30)</v>
      </c>
      <c r="N663" s="1" t="s">
        <v>17</v>
      </c>
    </row>
    <row r="664" ht="13.5" customHeight="1">
      <c r="A664" s="1">
        <v>27637.0</v>
      </c>
      <c r="B664" s="10" t="s">
        <v>51</v>
      </c>
      <c r="C664" s="10" t="s">
        <v>49</v>
      </c>
      <c r="D664" s="1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tr">
        <f t="shared" si="1"/>
        <v>Middle Aged (31-54)</v>
      </c>
      <c r="N664" s="1" t="s">
        <v>20</v>
      </c>
    </row>
    <row r="665" ht="13.5" customHeight="1">
      <c r="A665" s="1">
        <v>11890.0</v>
      </c>
      <c r="B665" s="10" t="s">
        <v>48</v>
      </c>
      <c r="C665" s="10" t="s">
        <v>49</v>
      </c>
      <c r="D665" s="1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tr">
        <f t="shared" si="1"/>
        <v>Middle Aged (31-54)</v>
      </c>
      <c r="N665" s="1" t="s">
        <v>20</v>
      </c>
    </row>
    <row r="666" ht="13.5" customHeight="1">
      <c r="A666" s="1">
        <v>28580.0</v>
      </c>
      <c r="B666" s="10" t="s">
        <v>48</v>
      </c>
      <c r="C666" s="10" t="s">
        <v>49</v>
      </c>
      <c r="D666" s="1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tr">
        <f t="shared" si="1"/>
        <v>Middle Aged (31-54)</v>
      </c>
      <c r="N666" s="1" t="s">
        <v>17</v>
      </c>
    </row>
    <row r="667" ht="13.5" customHeight="1">
      <c r="A667" s="1">
        <v>14443.0</v>
      </c>
      <c r="B667" s="10" t="s">
        <v>48</v>
      </c>
      <c r="C667" s="10" t="s">
        <v>50</v>
      </c>
      <c r="D667" s="1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tr">
        <f t="shared" si="1"/>
        <v>Middle Aged (31-54)</v>
      </c>
      <c r="N667" s="1" t="s">
        <v>20</v>
      </c>
    </row>
    <row r="668" ht="13.5" customHeight="1">
      <c r="A668" s="1">
        <v>17864.0</v>
      </c>
      <c r="B668" s="10" t="s">
        <v>48</v>
      </c>
      <c r="C668" s="10" t="s">
        <v>49</v>
      </c>
      <c r="D668" s="1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tr">
        <f t="shared" si="1"/>
        <v>Middle Aged (31-54)</v>
      </c>
      <c r="N668" s="1" t="s">
        <v>17</v>
      </c>
    </row>
    <row r="669" ht="13.5" customHeight="1">
      <c r="A669" s="1">
        <v>20505.0</v>
      </c>
      <c r="B669" s="10" t="s">
        <v>48</v>
      </c>
      <c r="C669" s="10" t="s">
        <v>49</v>
      </c>
      <c r="D669" s="1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0" t="s">
        <v>52</v>
      </c>
      <c r="K669" s="1" t="s">
        <v>35</v>
      </c>
      <c r="L669" s="1">
        <v>61.0</v>
      </c>
      <c r="M669" s="1" t="str">
        <f t="shared" si="1"/>
        <v>Old (54+)</v>
      </c>
      <c r="N669" s="1" t="s">
        <v>20</v>
      </c>
    </row>
    <row r="670" ht="13.5" customHeight="1">
      <c r="A670" s="1">
        <v>14592.0</v>
      </c>
      <c r="B670" s="10" t="s">
        <v>48</v>
      </c>
      <c r="C670" s="10" t="s">
        <v>49</v>
      </c>
      <c r="D670" s="1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tr">
        <f t="shared" si="1"/>
        <v>Middle Aged (31-54)</v>
      </c>
      <c r="N670" s="1" t="s">
        <v>20</v>
      </c>
    </row>
    <row r="671" ht="13.5" customHeight="1">
      <c r="A671" s="1">
        <v>22227.0</v>
      </c>
      <c r="B671" s="10" t="s">
        <v>48</v>
      </c>
      <c r="C671" s="10" t="s">
        <v>49</v>
      </c>
      <c r="D671" s="1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tr">
        <f t="shared" si="1"/>
        <v>Middle Aged (31-54)</v>
      </c>
      <c r="N671" s="1" t="s">
        <v>20</v>
      </c>
    </row>
    <row r="672" ht="13.5" customHeight="1">
      <c r="A672" s="1">
        <v>21471.0</v>
      </c>
      <c r="B672" s="10" t="s">
        <v>48</v>
      </c>
      <c r="C672" s="10" t="s">
        <v>50</v>
      </c>
      <c r="D672" s="1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0" t="s">
        <v>52</v>
      </c>
      <c r="K672" s="1" t="s">
        <v>35</v>
      </c>
      <c r="L672" s="1">
        <v>59.0</v>
      </c>
      <c r="M672" s="1" t="str">
        <f t="shared" si="1"/>
        <v>Old (54+)</v>
      </c>
      <c r="N672" s="1" t="s">
        <v>20</v>
      </c>
    </row>
    <row r="673" ht="13.5" customHeight="1">
      <c r="A673" s="1">
        <v>22252.0</v>
      </c>
      <c r="B673" s="10" t="s">
        <v>51</v>
      </c>
      <c r="C673" s="10" t="s">
        <v>49</v>
      </c>
      <c r="D673" s="1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tr">
        <f t="shared" si="1"/>
        <v>Middle Aged (31-54)</v>
      </c>
      <c r="N673" s="1" t="s">
        <v>17</v>
      </c>
    </row>
    <row r="674" ht="13.5" customHeight="1">
      <c r="A674" s="1">
        <v>21260.0</v>
      </c>
      <c r="B674" s="10" t="s">
        <v>51</v>
      </c>
      <c r="C674" s="10" t="s">
        <v>49</v>
      </c>
      <c r="D674" s="1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tr">
        <f t="shared" si="1"/>
        <v>Adolescent (0-30)</v>
      </c>
      <c r="N674" s="1" t="s">
        <v>20</v>
      </c>
    </row>
    <row r="675" ht="13.5" customHeight="1">
      <c r="A675" s="1">
        <v>11817.0</v>
      </c>
      <c r="B675" s="10" t="s">
        <v>51</v>
      </c>
      <c r="C675" s="10" t="s">
        <v>49</v>
      </c>
      <c r="D675" s="1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tr">
        <f t="shared" si="1"/>
        <v>Middle Aged (31-54)</v>
      </c>
      <c r="N675" s="1" t="s">
        <v>17</v>
      </c>
    </row>
    <row r="676" ht="13.5" customHeight="1">
      <c r="A676" s="1">
        <v>19223.0</v>
      </c>
      <c r="B676" s="10" t="s">
        <v>48</v>
      </c>
      <c r="C676" s="10" t="s">
        <v>49</v>
      </c>
      <c r="D676" s="1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tr">
        <f t="shared" si="1"/>
        <v>Middle Aged (31-54)</v>
      </c>
      <c r="N676" s="1" t="s">
        <v>20</v>
      </c>
    </row>
    <row r="677" ht="13.5" customHeight="1">
      <c r="A677" s="1">
        <v>18517.0</v>
      </c>
      <c r="B677" s="10" t="s">
        <v>48</v>
      </c>
      <c r="C677" s="10" t="s">
        <v>50</v>
      </c>
      <c r="D677" s="1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tr">
        <f t="shared" si="1"/>
        <v>Middle Aged (31-54)</v>
      </c>
      <c r="N677" s="1" t="s">
        <v>20</v>
      </c>
    </row>
    <row r="678" ht="13.5" customHeight="1">
      <c r="A678" s="1">
        <v>21717.0</v>
      </c>
      <c r="B678" s="10" t="s">
        <v>48</v>
      </c>
      <c r="C678" s="10" t="s">
        <v>50</v>
      </c>
      <c r="D678" s="1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tr">
        <f t="shared" si="1"/>
        <v>Middle Aged (31-54)</v>
      </c>
      <c r="N678" s="1" t="s">
        <v>20</v>
      </c>
    </row>
    <row r="679" ht="13.5" customHeight="1">
      <c r="A679" s="1">
        <v>13760.0</v>
      </c>
      <c r="B679" s="10" t="s">
        <v>48</v>
      </c>
      <c r="C679" s="10" t="s">
        <v>50</v>
      </c>
      <c r="D679" s="1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tr">
        <f t="shared" si="1"/>
        <v>Middle Aged (31-54)</v>
      </c>
      <c r="N679" s="1" t="s">
        <v>20</v>
      </c>
    </row>
    <row r="680" ht="13.5" customHeight="1">
      <c r="A680" s="1">
        <v>18145.0</v>
      </c>
      <c r="B680" s="10" t="s">
        <v>48</v>
      </c>
      <c r="C680" s="10" t="s">
        <v>50</v>
      </c>
      <c r="D680" s="1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tr">
        <f t="shared" si="1"/>
        <v>Old (54+)</v>
      </c>
      <c r="N680" s="1" t="s">
        <v>20</v>
      </c>
    </row>
    <row r="681" ht="13.5" customHeight="1">
      <c r="A681" s="1">
        <v>21770.0</v>
      </c>
      <c r="B681" s="10" t="s">
        <v>48</v>
      </c>
      <c r="C681" s="10" t="s">
        <v>50</v>
      </c>
      <c r="D681" s="1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0" t="s">
        <v>52</v>
      </c>
      <c r="K681" s="1" t="s">
        <v>35</v>
      </c>
      <c r="L681" s="1">
        <v>60.0</v>
      </c>
      <c r="M681" s="1" t="str">
        <f t="shared" si="1"/>
        <v>Old (54+)</v>
      </c>
      <c r="N681" s="1" t="s">
        <v>20</v>
      </c>
    </row>
    <row r="682" ht="13.5" customHeight="1">
      <c r="A682" s="1">
        <v>11165.0</v>
      </c>
      <c r="B682" s="10" t="s">
        <v>48</v>
      </c>
      <c r="C682" s="10" t="s">
        <v>49</v>
      </c>
      <c r="D682" s="1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tr">
        <f t="shared" si="1"/>
        <v>Middle Aged (31-54)</v>
      </c>
      <c r="N682" s="1" t="s">
        <v>20</v>
      </c>
    </row>
    <row r="683" ht="13.5" customHeight="1">
      <c r="A683" s="1">
        <v>16377.0</v>
      </c>
      <c r="B683" s="10" t="s">
        <v>51</v>
      </c>
      <c r="C683" s="10" t="s">
        <v>49</v>
      </c>
      <c r="D683" s="1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tr">
        <f t="shared" si="1"/>
        <v>Middle Aged (31-54)</v>
      </c>
      <c r="N683" s="1" t="s">
        <v>20</v>
      </c>
    </row>
    <row r="684" ht="13.5" customHeight="1">
      <c r="A684" s="1">
        <v>26248.0</v>
      </c>
      <c r="B684" s="10" t="s">
        <v>48</v>
      </c>
      <c r="C684" s="10" t="s">
        <v>50</v>
      </c>
      <c r="D684" s="1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tr">
        <f t="shared" si="1"/>
        <v>Middle Aged (31-54)</v>
      </c>
      <c r="N684" s="1" t="s">
        <v>20</v>
      </c>
    </row>
    <row r="685" ht="13.5" customHeight="1">
      <c r="A685" s="1">
        <v>23461.0</v>
      </c>
      <c r="B685" s="10" t="s">
        <v>48</v>
      </c>
      <c r="C685" s="10" t="s">
        <v>49</v>
      </c>
      <c r="D685" s="1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tr">
        <f t="shared" si="1"/>
        <v>Middle Aged (31-54)</v>
      </c>
      <c r="N685" s="1" t="s">
        <v>20</v>
      </c>
    </row>
    <row r="686" ht="13.5" customHeight="1">
      <c r="A686" s="1">
        <v>29133.0</v>
      </c>
      <c r="B686" s="10" t="s">
        <v>51</v>
      </c>
      <c r="C686" s="10" t="s">
        <v>49</v>
      </c>
      <c r="D686" s="1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tr">
        <f t="shared" si="1"/>
        <v>Middle Aged (31-54)</v>
      </c>
      <c r="N686" s="1" t="s">
        <v>20</v>
      </c>
    </row>
    <row r="687" ht="13.5" customHeight="1">
      <c r="A687" s="1">
        <v>27673.0</v>
      </c>
      <c r="B687" s="10" t="s">
        <v>51</v>
      </c>
      <c r="C687" s="10" t="s">
        <v>49</v>
      </c>
      <c r="D687" s="1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tr">
        <f t="shared" si="1"/>
        <v>Middle Aged (31-54)</v>
      </c>
      <c r="N687" s="1" t="s">
        <v>17</v>
      </c>
    </row>
    <row r="688" ht="13.5" customHeight="1">
      <c r="A688" s="1">
        <v>12774.0</v>
      </c>
      <c r="B688" s="10" t="s">
        <v>48</v>
      </c>
      <c r="C688" s="10" t="s">
        <v>49</v>
      </c>
      <c r="D688" s="1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tr">
        <f t="shared" si="1"/>
        <v>Middle Aged (31-54)</v>
      </c>
      <c r="N688" s="1" t="s">
        <v>17</v>
      </c>
    </row>
    <row r="689" ht="13.5" customHeight="1">
      <c r="A689" s="1">
        <v>18910.0</v>
      </c>
      <c r="B689" s="10" t="s">
        <v>51</v>
      </c>
      <c r="C689" s="10" t="s">
        <v>50</v>
      </c>
      <c r="D689" s="1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tr">
        <f t="shared" si="1"/>
        <v>Adolescent (0-30)</v>
      </c>
      <c r="N689" s="1" t="s">
        <v>20</v>
      </c>
    </row>
    <row r="690" ht="13.5" customHeight="1">
      <c r="A690" s="1">
        <v>11699.0</v>
      </c>
      <c r="B690" s="10" t="s">
        <v>51</v>
      </c>
      <c r="C690" s="10" t="s">
        <v>50</v>
      </c>
      <c r="D690" s="1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tr">
        <f t="shared" si="1"/>
        <v>Adolescent (0-30)</v>
      </c>
      <c r="N690" s="1" t="s">
        <v>20</v>
      </c>
    </row>
    <row r="691" ht="13.5" customHeight="1">
      <c r="A691" s="1">
        <v>16725.0</v>
      </c>
      <c r="B691" s="10" t="s">
        <v>48</v>
      </c>
      <c r="C691" s="10" t="s">
        <v>50</v>
      </c>
      <c r="D691" s="1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tr">
        <f t="shared" si="1"/>
        <v>Adolescent (0-30)</v>
      </c>
      <c r="N691" s="1" t="s">
        <v>20</v>
      </c>
    </row>
    <row r="692" ht="13.5" customHeight="1">
      <c r="A692" s="1">
        <v>28269.0</v>
      </c>
      <c r="B692" s="10" t="s">
        <v>51</v>
      </c>
      <c r="C692" s="10" t="s">
        <v>49</v>
      </c>
      <c r="D692" s="1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tr">
        <f t="shared" si="1"/>
        <v>Middle Aged (31-54)</v>
      </c>
      <c r="N692" s="1" t="s">
        <v>20</v>
      </c>
    </row>
    <row r="693" ht="13.5" customHeight="1">
      <c r="A693" s="1">
        <v>23144.0</v>
      </c>
      <c r="B693" s="10" t="s">
        <v>48</v>
      </c>
      <c r="C693" s="10" t="s">
        <v>50</v>
      </c>
      <c r="D693" s="1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tr">
        <f t="shared" si="1"/>
        <v>Middle Aged (31-54)</v>
      </c>
      <c r="N693" s="1" t="s">
        <v>17</v>
      </c>
    </row>
    <row r="694" ht="13.5" customHeight="1">
      <c r="A694" s="1">
        <v>23376.0</v>
      </c>
      <c r="B694" s="10" t="s">
        <v>48</v>
      </c>
      <c r="C694" s="10" t="s">
        <v>50</v>
      </c>
      <c r="D694" s="1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tr">
        <f t="shared" si="1"/>
        <v>Middle Aged (31-54)</v>
      </c>
      <c r="N694" s="1" t="s">
        <v>17</v>
      </c>
    </row>
    <row r="695" ht="13.5" customHeight="1">
      <c r="A695" s="1">
        <v>25970.0</v>
      </c>
      <c r="B695" s="10" t="s">
        <v>51</v>
      </c>
      <c r="C695" s="10" t="s">
        <v>49</v>
      </c>
      <c r="D695" s="1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tr">
        <f t="shared" si="1"/>
        <v>Middle Aged (31-54)</v>
      </c>
      <c r="N695" s="1" t="s">
        <v>17</v>
      </c>
    </row>
    <row r="696" ht="13.5" customHeight="1">
      <c r="A696" s="1">
        <v>28068.0</v>
      </c>
      <c r="B696" s="10" t="s">
        <v>51</v>
      </c>
      <c r="C696" s="10" t="s">
        <v>49</v>
      </c>
      <c r="D696" s="1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tr">
        <f t="shared" si="1"/>
        <v>Middle Aged (31-54)</v>
      </c>
      <c r="N696" s="1" t="s">
        <v>17</v>
      </c>
    </row>
    <row r="697" ht="13.5" customHeight="1">
      <c r="A697" s="1">
        <v>18390.0</v>
      </c>
      <c r="B697" s="10" t="s">
        <v>48</v>
      </c>
      <c r="C697" s="10" t="s">
        <v>50</v>
      </c>
      <c r="D697" s="1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tr">
        <f t="shared" si="1"/>
        <v>Middle Aged (31-54)</v>
      </c>
      <c r="N697" s="1" t="s">
        <v>20</v>
      </c>
    </row>
    <row r="698" ht="13.5" customHeight="1">
      <c r="A698" s="1">
        <v>29112.0</v>
      </c>
      <c r="B698" s="10" t="s">
        <v>51</v>
      </c>
      <c r="C698" s="10" t="s">
        <v>50</v>
      </c>
      <c r="D698" s="1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tr">
        <f t="shared" si="1"/>
        <v>Adolescent (0-30)</v>
      </c>
      <c r="N698" s="1" t="s">
        <v>20</v>
      </c>
    </row>
    <row r="699" ht="13.5" customHeight="1">
      <c r="A699" s="1">
        <v>14090.0</v>
      </c>
      <c r="B699" s="10" t="s">
        <v>48</v>
      </c>
      <c r="C699" s="10" t="s">
        <v>49</v>
      </c>
      <c r="D699" s="1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tr">
        <f t="shared" si="1"/>
        <v>Adolescent (0-30)</v>
      </c>
      <c r="N699" s="1" t="s">
        <v>20</v>
      </c>
    </row>
    <row r="700" ht="13.5" customHeight="1">
      <c r="A700" s="1">
        <v>27040.0</v>
      </c>
      <c r="B700" s="10" t="s">
        <v>48</v>
      </c>
      <c r="C700" s="10" t="s">
        <v>50</v>
      </c>
      <c r="D700" s="1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tr">
        <f t="shared" si="1"/>
        <v>Middle Aged (31-54)</v>
      </c>
      <c r="N700" s="1" t="s">
        <v>20</v>
      </c>
    </row>
    <row r="701" ht="13.5" customHeight="1">
      <c r="A701" s="1">
        <v>23479.0</v>
      </c>
      <c r="B701" s="10" t="s">
        <v>51</v>
      </c>
      <c r="C701" s="10" t="s">
        <v>50</v>
      </c>
      <c r="D701" s="1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tr">
        <f t="shared" si="1"/>
        <v>Middle Aged (31-54)</v>
      </c>
      <c r="N701" s="1" t="s">
        <v>17</v>
      </c>
    </row>
    <row r="702" ht="13.5" customHeight="1">
      <c r="A702" s="1">
        <v>16795.0</v>
      </c>
      <c r="B702" s="10" t="s">
        <v>48</v>
      </c>
      <c r="C702" s="10" t="s">
        <v>49</v>
      </c>
      <c r="D702" s="1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tr">
        <f t="shared" si="1"/>
        <v>Old (54+)</v>
      </c>
      <c r="N702" s="1" t="s">
        <v>20</v>
      </c>
    </row>
    <row r="703" ht="13.5" customHeight="1">
      <c r="A703" s="1">
        <v>22014.0</v>
      </c>
      <c r="B703" s="10" t="s">
        <v>51</v>
      </c>
      <c r="C703" s="10" t="s">
        <v>50</v>
      </c>
      <c r="D703" s="1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tr">
        <f t="shared" si="1"/>
        <v>Adolescent (0-30)</v>
      </c>
      <c r="N703" s="1" t="s">
        <v>20</v>
      </c>
    </row>
    <row r="704" ht="13.5" customHeight="1">
      <c r="A704" s="1">
        <v>13314.0</v>
      </c>
      <c r="B704" s="10" t="s">
        <v>48</v>
      </c>
      <c r="C704" s="10" t="s">
        <v>50</v>
      </c>
      <c r="D704" s="1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tr">
        <f t="shared" si="1"/>
        <v>Middle Aged (31-54)</v>
      </c>
      <c r="N704" s="1" t="s">
        <v>17</v>
      </c>
    </row>
    <row r="705" ht="13.5" customHeight="1">
      <c r="A705" s="1">
        <v>11619.0</v>
      </c>
      <c r="B705" s="10" t="s">
        <v>51</v>
      </c>
      <c r="C705" s="10" t="s">
        <v>49</v>
      </c>
      <c r="D705" s="1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tr">
        <f t="shared" si="1"/>
        <v>Middle Aged (31-54)</v>
      </c>
      <c r="N705" s="1" t="s">
        <v>20</v>
      </c>
    </row>
    <row r="706" ht="13.5" customHeight="1">
      <c r="A706" s="1">
        <v>29132.0</v>
      </c>
      <c r="B706" s="10" t="s">
        <v>51</v>
      </c>
      <c r="C706" s="10" t="s">
        <v>49</v>
      </c>
      <c r="D706" s="1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tr">
        <f t="shared" si="1"/>
        <v>Middle Aged (31-54)</v>
      </c>
      <c r="N706" s="1" t="s">
        <v>17</v>
      </c>
    </row>
    <row r="707" ht="13.5" customHeight="1">
      <c r="A707" s="1">
        <v>11199.0</v>
      </c>
      <c r="B707" s="10" t="s">
        <v>48</v>
      </c>
      <c r="C707" s="10" t="s">
        <v>49</v>
      </c>
      <c r="D707" s="1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0" t="s">
        <v>52</v>
      </c>
      <c r="K707" s="1" t="s">
        <v>35</v>
      </c>
      <c r="L707" s="1">
        <v>59.0</v>
      </c>
      <c r="M707" s="1" t="str">
        <f t="shared" si="1"/>
        <v>Old (54+)</v>
      </c>
      <c r="N707" s="1" t="s">
        <v>20</v>
      </c>
    </row>
    <row r="708" ht="13.5" customHeight="1">
      <c r="A708" s="1">
        <v>20296.0</v>
      </c>
      <c r="B708" s="10" t="s">
        <v>51</v>
      </c>
      <c r="C708" s="10" t="s">
        <v>49</v>
      </c>
      <c r="D708" s="1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tr">
        <f t="shared" si="1"/>
        <v>Middle Aged (31-54)</v>
      </c>
      <c r="N708" s="1" t="s">
        <v>17</v>
      </c>
    </row>
    <row r="709" ht="13.5" customHeight="1">
      <c r="A709" s="1">
        <v>17546.0</v>
      </c>
      <c r="B709" s="10" t="s">
        <v>48</v>
      </c>
      <c r="C709" s="10" t="s">
        <v>49</v>
      </c>
      <c r="D709" s="1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tr">
        <f t="shared" si="1"/>
        <v>Middle Aged (31-54)</v>
      </c>
      <c r="N709" s="1" t="s">
        <v>17</v>
      </c>
    </row>
    <row r="710" ht="13.5" customHeight="1">
      <c r="A710" s="1">
        <v>18069.0</v>
      </c>
      <c r="B710" s="10" t="s">
        <v>48</v>
      </c>
      <c r="C710" s="10" t="s">
        <v>50</v>
      </c>
      <c r="D710" s="1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0" t="s">
        <v>52</v>
      </c>
      <c r="K710" s="1" t="s">
        <v>35</v>
      </c>
      <c r="L710" s="1">
        <v>60.0</v>
      </c>
      <c r="M710" s="1" t="str">
        <f t="shared" si="1"/>
        <v>Old (54+)</v>
      </c>
      <c r="N710" s="1" t="s">
        <v>20</v>
      </c>
    </row>
    <row r="711" ht="13.5" customHeight="1">
      <c r="A711" s="1">
        <v>23712.0</v>
      </c>
      <c r="B711" s="10" t="s">
        <v>51</v>
      </c>
      <c r="C711" s="10" t="s">
        <v>49</v>
      </c>
      <c r="D711" s="1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0" t="s">
        <v>52</v>
      </c>
      <c r="K711" s="1" t="s">
        <v>35</v>
      </c>
      <c r="L711" s="1">
        <v>59.0</v>
      </c>
      <c r="M711" s="1" t="str">
        <f t="shared" si="1"/>
        <v>Old (54+)</v>
      </c>
      <c r="N711" s="1" t="s">
        <v>20</v>
      </c>
    </row>
    <row r="712" ht="13.5" customHeight="1">
      <c r="A712" s="1">
        <v>23358.0</v>
      </c>
      <c r="B712" s="10" t="s">
        <v>48</v>
      </c>
      <c r="C712" s="10" t="s">
        <v>50</v>
      </c>
      <c r="D712" s="1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tr">
        <f t="shared" si="1"/>
        <v>Middle Aged (31-54)</v>
      </c>
      <c r="N712" s="1" t="s">
        <v>17</v>
      </c>
    </row>
    <row r="713" ht="13.5" customHeight="1">
      <c r="A713" s="1">
        <v>20518.0</v>
      </c>
      <c r="B713" s="10" t="s">
        <v>48</v>
      </c>
      <c r="C713" s="10" t="s">
        <v>49</v>
      </c>
      <c r="D713" s="1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0" t="s">
        <v>52</v>
      </c>
      <c r="K713" s="1" t="s">
        <v>35</v>
      </c>
      <c r="L713" s="1">
        <v>58.0</v>
      </c>
      <c r="M713" s="1" t="str">
        <f t="shared" si="1"/>
        <v>Old (54+)</v>
      </c>
      <c r="N713" s="1" t="s">
        <v>20</v>
      </c>
    </row>
    <row r="714" ht="13.5" customHeight="1">
      <c r="A714" s="1">
        <v>28026.0</v>
      </c>
      <c r="B714" s="10" t="s">
        <v>48</v>
      </c>
      <c r="C714" s="10" t="s">
        <v>49</v>
      </c>
      <c r="D714" s="1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tr">
        <f t="shared" si="1"/>
        <v>Old (54+)</v>
      </c>
      <c r="N714" s="1" t="s">
        <v>20</v>
      </c>
    </row>
    <row r="715" ht="13.5" customHeight="1">
      <c r="A715" s="1">
        <v>11669.0</v>
      </c>
      <c r="B715" s="10" t="s">
        <v>51</v>
      </c>
      <c r="C715" s="10" t="s">
        <v>49</v>
      </c>
      <c r="D715" s="1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tr">
        <f t="shared" si="1"/>
        <v>Middle Aged (31-54)</v>
      </c>
      <c r="N715" s="1" t="s">
        <v>20</v>
      </c>
    </row>
    <row r="716" ht="13.5" customHeight="1">
      <c r="A716" s="1">
        <v>16020.0</v>
      </c>
      <c r="B716" s="10" t="s">
        <v>48</v>
      </c>
      <c r="C716" s="10" t="s">
        <v>50</v>
      </c>
      <c r="D716" s="1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tr">
        <f t="shared" si="1"/>
        <v>Adolescent (0-30)</v>
      </c>
      <c r="N716" s="1" t="s">
        <v>17</v>
      </c>
    </row>
    <row r="717" ht="13.5" customHeight="1">
      <c r="A717" s="1">
        <v>27090.0</v>
      </c>
      <c r="B717" s="10" t="s">
        <v>48</v>
      </c>
      <c r="C717" s="10" t="s">
        <v>49</v>
      </c>
      <c r="D717" s="1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tr">
        <f t="shared" si="1"/>
        <v>Middle Aged (31-54)</v>
      </c>
      <c r="N717" s="1" t="s">
        <v>17</v>
      </c>
    </row>
    <row r="718" ht="13.5" customHeight="1">
      <c r="A718" s="1">
        <v>27198.0</v>
      </c>
      <c r="B718" s="10" t="s">
        <v>51</v>
      </c>
      <c r="C718" s="10" t="s">
        <v>49</v>
      </c>
      <c r="D718" s="1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tr">
        <f t="shared" si="1"/>
        <v>Middle Aged (31-54)</v>
      </c>
      <c r="N718" s="1" t="s">
        <v>20</v>
      </c>
    </row>
    <row r="719" ht="13.5" customHeight="1">
      <c r="A719" s="1">
        <v>19661.0</v>
      </c>
      <c r="B719" s="10" t="s">
        <v>51</v>
      </c>
      <c r="C719" s="10" t="s">
        <v>50</v>
      </c>
      <c r="D719" s="1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tr">
        <f t="shared" si="1"/>
        <v>Middle Aged (31-54)</v>
      </c>
      <c r="N719" s="1" t="s">
        <v>17</v>
      </c>
    </row>
    <row r="720" ht="13.5" customHeight="1">
      <c r="A720" s="1">
        <v>26327.0</v>
      </c>
      <c r="B720" s="10" t="s">
        <v>48</v>
      </c>
      <c r="C720" s="10" t="s">
        <v>50</v>
      </c>
      <c r="D720" s="1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tr">
        <f t="shared" si="1"/>
        <v>Middle Aged (31-54)</v>
      </c>
      <c r="N720" s="1" t="s">
        <v>17</v>
      </c>
    </row>
    <row r="721" ht="13.5" customHeight="1">
      <c r="A721" s="1">
        <v>26341.0</v>
      </c>
      <c r="B721" s="10" t="s">
        <v>48</v>
      </c>
      <c r="C721" s="10" t="s">
        <v>49</v>
      </c>
      <c r="D721" s="1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tr">
        <f t="shared" si="1"/>
        <v>Middle Aged (31-54)</v>
      </c>
      <c r="N721" s="1" t="s">
        <v>20</v>
      </c>
    </row>
    <row r="722" ht="13.5" customHeight="1">
      <c r="A722" s="1">
        <v>24958.0</v>
      </c>
      <c r="B722" s="10" t="s">
        <v>51</v>
      </c>
      <c r="C722" s="10" t="s">
        <v>49</v>
      </c>
      <c r="D722" s="1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tr">
        <f t="shared" si="1"/>
        <v>Old (54+)</v>
      </c>
      <c r="N722" s="1" t="s">
        <v>17</v>
      </c>
    </row>
    <row r="723" ht="13.5" customHeight="1">
      <c r="A723" s="1">
        <v>13287.0</v>
      </c>
      <c r="B723" s="10" t="s">
        <v>51</v>
      </c>
      <c r="C723" s="10" t="s">
        <v>50</v>
      </c>
      <c r="D723" s="1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tr">
        <f t="shared" si="1"/>
        <v>Middle Aged (31-54)</v>
      </c>
      <c r="N723" s="1" t="s">
        <v>17</v>
      </c>
    </row>
    <row r="724" ht="13.5" customHeight="1">
      <c r="A724" s="1">
        <v>14493.0</v>
      </c>
      <c r="B724" s="10" t="s">
        <v>51</v>
      </c>
      <c r="C724" s="10" t="s">
        <v>49</v>
      </c>
      <c r="D724" s="1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tr">
        <f t="shared" si="1"/>
        <v>Middle Aged (31-54)</v>
      </c>
      <c r="N724" s="1" t="s">
        <v>20</v>
      </c>
    </row>
    <row r="725" ht="13.5" customHeight="1">
      <c r="A725" s="1">
        <v>26678.0</v>
      </c>
      <c r="B725" s="10" t="s">
        <v>51</v>
      </c>
      <c r="C725" s="10" t="s">
        <v>49</v>
      </c>
      <c r="D725" s="1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tr">
        <f t="shared" si="1"/>
        <v>Middle Aged (31-54)</v>
      </c>
      <c r="N725" s="1" t="s">
        <v>20</v>
      </c>
    </row>
    <row r="726" ht="13.5" customHeight="1">
      <c r="A726" s="1">
        <v>23275.0</v>
      </c>
      <c r="B726" s="10" t="s">
        <v>48</v>
      </c>
      <c r="C726" s="10" t="s">
        <v>50</v>
      </c>
      <c r="D726" s="1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tr">
        <f t="shared" si="1"/>
        <v>Middle Aged (31-54)</v>
      </c>
      <c r="N726" s="1" t="s">
        <v>20</v>
      </c>
    </row>
    <row r="727" ht="13.5" customHeight="1">
      <c r="A727" s="1">
        <v>11270.0</v>
      </c>
      <c r="B727" s="10" t="s">
        <v>48</v>
      </c>
      <c r="C727" s="10" t="s">
        <v>50</v>
      </c>
      <c r="D727" s="1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tr">
        <f t="shared" si="1"/>
        <v>Middle Aged (31-54)</v>
      </c>
      <c r="N727" s="1" t="s">
        <v>17</v>
      </c>
    </row>
    <row r="728" ht="13.5" customHeight="1">
      <c r="A728" s="1">
        <v>20084.0</v>
      </c>
      <c r="B728" s="10" t="s">
        <v>48</v>
      </c>
      <c r="C728" s="10" t="s">
        <v>50</v>
      </c>
      <c r="D728" s="1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tr">
        <f t="shared" si="1"/>
        <v>Middle Aged (31-54)</v>
      </c>
      <c r="N728" s="1" t="s">
        <v>20</v>
      </c>
    </row>
    <row r="729" ht="13.5" customHeight="1">
      <c r="A729" s="1">
        <v>16144.0</v>
      </c>
      <c r="B729" s="10" t="s">
        <v>48</v>
      </c>
      <c r="C729" s="10" t="s">
        <v>50</v>
      </c>
      <c r="D729" s="1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tr">
        <f t="shared" si="1"/>
        <v>Middle Aged (31-54)</v>
      </c>
      <c r="N729" s="1" t="s">
        <v>17</v>
      </c>
    </row>
    <row r="730" ht="13.5" customHeight="1">
      <c r="A730" s="1">
        <v>27731.0</v>
      </c>
      <c r="B730" s="10" t="s">
        <v>48</v>
      </c>
      <c r="C730" s="10" t="s">
        <v>50</v>
      </c>
      <c r="D730" s="1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tr">
        <f t="shared" si="1"/>
        <v>Adolescent (0-30)</v>
      </c>
      <c r="N730" s="1" t="s">
        <v>20</v>
      </c>
    </row>
    <row r="731" ht="13.5" customHeight="1">
      <c r="A731" s="1">
        <v>11886.0</v>
      </c>
      <c r="B731" s="10" t="s">
        <v>48</v>
      </c>
      <c r="C731" s="10" t="s">
        <v>49</v>
      </c>
      <c r="D731" s="1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tr">
        <f t="shared" si="1"/>
        <v>Middle Aged (31-54)</v>
      </c>
      <c r="N731" s="1" t="s">
        <v>17</v>
      </c>
    </row>
    <row r="732" ht="13.5" customHeight="1">
      <c r="A732" s="1">
        <v>24324.0</v>
      </c>
      <c r="B732" s="10" t="s">
        <v>51</v>
      </c>
      <c r="C732" s="10" t="s">
        <v>49</v>
      </c>
      <c r="D732" s="1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tr">
        <f t="shared" si="1"/>
        <v>Middle Aged (31-54)</v>
      </c>
      <c r="N732" s="1" t="s">
        <v>17</v>
      </c>
    </row>
    <row r="733" ht="13.5" customHeight="1">
      <c r="A733" s="1">
        <v>22220.0</v>
      </c>
      <c r="B733" s="10" t="s">
        <v>48</v>
      </c>
      <c r="C733" s="10" t="s">
        <v>50</v>
      </c>
      <c r="D733" s="1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tr">
        <f t="shared" si="1"/>
        <v>Middle Aged (31-54)</v>
      </c>
      <c r="N733" s="1" t="s">
        <v>17</v>
      </c>
    </row>
    <row r="734" ht="13.5" customHeight="1">
      <c r="A734" s="1">
        <v>26625.0</v>
      </c>
      <c r="B734" s="10" t="s">
        <v>51</v>
      </c>
      <c r="C734" s="10" t="s">
        <v>49</v>
      </c>
      <c r="D734" s="1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tr">
        <f t="shared" si="1"/>
        <v>Middle Aged (31-54)</v>
      </c>
      <c r="N734" s="1" t="s">
        <v>17</v>
      </c>
    </row>
    <row r="735" ht="13.5" customHeight="1">
      <c r="A735" s="1">
        <v>23027.0</v>
      </c>
      <c r="B735" s="10" t="s">
        <v>51</v>
      </c>
      <c r="C735" s="10" t="s">
        <v>50</v>
      </c>
      <c r="D735" s="1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tr">
        <f t="shared" si="1"/>
        <v>Middle Aged (31-54)</v>
      </c>
      <c r="N735" s="1" t="s">
        <v>20</v>
      </c>
    </row>
    <row r="736" ht="13.5" customHeight="1">
      <c r="A736" s="1">
        <v>16867.0</v>
      </c>
      <c r="B736" s="10" t="s">
        <v>51</v>
      </c>
      <c r="C736" s="10" t="s">
        <v>49</v>
      </c>
      <c r="D736" s="1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tr">
        <f t="shared" si="1"/>
        <v>Middle Aged (31-54)</v>
      </c>
      <c r="N736" s="1" t="s">
        <v>17</v>
      </c>
    </row>
    <row r="737" ht="13.5" customHeight="1">
      <c r="A737" s="1">
        <v>14514.0</v>
      </c>
      <c r="B737" s="10" t="s">
        <v>51</v>
      </c>
      <c r="C737" s="10" t="s">
        <v>49</v>
      </c>
      <c r="D737" s="1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tr">
        <f t="shared" si="1"/>
        <v>Adolescent (0-30)</v>
      </c>
      <c r="N737" s="1" t="s">
        <v>20</v>
      </c>
    </row>
    <row r="738" ht="13.5" customHeight="1">
      <c r="A738" s="1">
        <v>19634.0</v>
      </c>
      <c r="B738" s="10" t="s">
        <v>48</v>
      </c>
      <c r="C738" s="10" t="s">
        <v>50</v>
      </c>
      <c r="D738" s="1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tr">
        <f t="shared" si="1"/>
        <v>Middle Aged (31-54)</v>
      </c>
      <c r="N738" s="1" t="s">
        <v>20</v>
      </c>
    </row>
    <row r="739" ht="13.5" customHeight="1">
      <c r="A739" s="1">
        <v>18504.0</v>
      </c>
      <c r="B739" s="10" t="s">
        <v>48</v>
      </c>
      <c r="C739" s="10" t="s">
        <v>50</v>
      </c>
      <c r="D739" s="1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tr">
        <f t="shared" si="1"/>
        <v>Middle Aged (31-54)</v>
      </c>
      <c r="N739" s="1" t="s">
        <v>20</v>
      </c>
    </row>
    <row r="740" ht="13.5" customHeight="1">
      <c r="A740" s="1">
        <v>28799.0</v>
      </c>
      <c r="B740" s="10" t="s">
        <v>51</v>
      </c>
      <c r="C740" s="10" t="s">
        <v>49</v>
      </c>
      <c r="D740" s="1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tr">
        <f t="shared" si="1"/>
        <v>Middle Aged (31-54)</v>
      </c>
      <c r="N740" s="1" t="s">
        <v>17</v>
      </c>
    </row>
    <row r="741" ht="13.5" customHeight="1">
      <c r="A741" s="1">
        <v>11225.0</v>
      </c>
      <c r="B741" s="10" t="s">
        <v>48</v>
      </c>
      <c r="C741" s="10" t="s">
        <v>49</v>
      </c>
      <c r="D741" s="1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0" t="s">
        <v>52</v>
      </c>
      <c r="K741" s="1" t="s">
        <v>35</v>
      </c>
      <c r="L741" s="1">
        <v>55.0</v>
      </c>
      <c r="M741" s="1" t="str">
        <f t="shared" si="1"/>
        <v>Old (54+)</v>
      </c>
      <c r="N741" s="1" t="s">
        <v>20</v>
      </c>
    </row>
    <row r="742" ht="13.5" customHeight="1">
      <c r="A742" s="1">
        <v>17657.0</v>
      </c>
      <c r="B742" s="10" t="s">
        <v>48</v>
      </c>
      <c r="C742" s="10" t="s">
        <v>50</v>
      </c>
      <c r="D742" s="1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tr">
        <f t="shared" si="1"/>
        <v>Adolescent (0-30)</v>
      </c>
      <c r="N742" s="1" t="s">
        <v>20</v>
      </c>
    </row>
    <row r="743" ht="13.5" customHeight="1">
      <c r="A743" s="1">
        <v>14913.0</v>
      </c>
      <c r="B743" s="10" t="s">
        <v>48</v>
      </c>
      <c r="C743" s="10" t="s">
        <v>49</v>
      </c>
      <c r="D743" s="1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tr">
        <f t="shared" si="1"/>
        <v>Middle Aged (31-54)</v>
      </c>
      <c r="N743" s="1" t="s">
        <v>17</v>
      </c>
    </row>
    <row r="744" ht="13.5" customHeight="1">
      <c r="A744" s="1">
        <v>14077.0</v>
      </c>
      <c r="B744" s="10" t="s">
        <v>51</v>
      </c>
      <c r="C744" s="10" t="s">
        <v>50</v>
      </c>
      <c r="D744" s="1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tr">
        <f t="shared" si="1"/>
        <v>Adolescent (0-30)</v>
      </c>
      <c r="N744" s="1" t="s">
        <v>20</v>
      </c>
    </row>
    <row r="745" ht="13.5" customHeight="1">
      <c r="A745" s="1">
        <v>13296.0</v>
      </c>
      <c r="B745" s="10" t="s">
        <v>48</v>
      </c>
      <c r="C745" s="10" t="s">
        <v>50</v>
      </c>
      <c r="D745" s="1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tr">
        <f t="shared" si="1"/>
        <v>Middle Aged (31-54)</v>
      </c>
      <c r="N745" s="1" t="s">
        <v>20</v>
      </c>
    </row>
    <row r="746" ht="13.5" customHeight="1">
      <c r="A746" s="1">
        <v>20535.0</v>
      </c>
      <c r="B746" s="10" t="s">
        <v>48</v>
      </c>
      <c r="C746" s="10" t="s">
        <v>49</v>
      </c>
      <c r="D746" s="1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0" t="s">
        <v>52</v>
      </c>
      <c r="K746" s="1" t="s">
        <v>35</v>
      </c>
      <c r="L746" s="1">
        <v>56.0</v>
      </c>
      <c r="M746" s="1" t="str">
        <f t="shared" si="1"/>
        <v>Old (54+)</v>
      </c>
      <c r="N746" s="1" t="s">
        <v>20</v>
      </c>
    </row>
    <row r="747" ht="13.5" customHeight="1">
      <c r="A747" s="1">
        <v>12452.0</v>
      </c>
      <c r="B747" s="10" t="s">
        <v>48</v>
      </c>
      <c r="C747" s="10" t="s">
        <v>50</v>
      </c>
      <c r="D747" s="1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tr">
        <f t="shared" si="1"/>
        <v>Middle Aged (31-54)</v>
      </c>
      <c r="N747" s="1" t="s">
        <v>17</v>
      </c>
    </row>
    <row r="748" ht="13.5" customHeight="1">
      <c r="A748" s="1">
        <v>28043.0</v>
      </c>
      <c r="B748" s="10" t="s">
        <v>48</v>
      </c>
      <c r="C748" s="10" t="s">
        <v>49</v>
      </c>
      <c r="D748" s="1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0" t="s">
        <v>52</v>
      </c>
      <c r="K748" s="1" t="s">
        <v>35</v>
      </c>
      <c r="L748" s="1">
        <v>56.0</v>
      </c>
      <c r="M748" s="1" t="str">
        <f t="shared" si="1"/>
        <v>Old (54+)</v>
      </c>
      <c r="N748" s="1" t="s">
        <v>20</v>
      </c>
    </row>
    <row r="749" ht="13.5" customHeight="1">
      <c r="A749" s="1">
        <v>12957.0</v>
      </c>
      <c r="B749" s="10" t="s">
        <v>51</v>
      </c>
      <c r="C749" s="10" t="s">
        <v>49</v>
      </c>
      <c r="D749" s="1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tr">
        <f t="shared" si="1"/>
        <v>Middle Aged (31-54)</v>
      </c>
      <c r="N749" s="1" t="s">
        <v>20</v>
      </c>
    </row>
    <row r="750" ht="13.5" customHeight="1">
      <c r="A750" s="1">
        <v>15412.0</v>
      </c>
      <c r="B750" s="10" t="s">
        <v>48</v>
      </c>
      <c r="C750" s="10" t="s">
        <v>50</v>
      </c>
      <c r="D750" s="1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tr">
        <f t="shared" si="1"/>
        <v>Old (54+)</v>
      </c>
      <c r="N750" s="1" t="s">
        <v>20</v>
      </c>
    </row>
    <row r="751" ht="13.5" customHeight="1">
      <c r="A751" s="1">
        <v>20514.0</v>
      </c>
      <c r="B751" s="10" t="s">
        <v>48</v>
      </c>
      <c r="C751" s="10" t="s">
        <v>49</v>
      </c>
      <c r="D751" s="1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tr">
        <f t="shared" si="1"/>
        <v>Old (54+)</v>
      </c>
      <c r="N751" s="1" t="s">
        <v>20</v>
      </c>
    </row>
    <row r="752" ht="13.5" customHeight="1">
      <c r="A752" s="1">
        <v>20758.0</v>
      </c>
      <c r="B752" s="10" t="s">
        <v>48</v>
      </c>
      <c r="C752" s="10" t="s">
        <v>50</v>
      </c>
      <c r="D752" s="1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tr">
        <f t="shared" si="1"/>
        <v>Middle Aged (31-54)</v>
      </c>
      <c r="N752" s="1" t="s">
        <v>20</v>
      </c>
    </row>
    <row r="753" ht="13.5" customHeight="1">
      <c r="A753" s="1">
        <v>11801.0</v>
      </c>
      <c r="B753" s="10" t="s">
        <v>48</v>
      </c>
      <c r="C753" s="10" t="s">
        <v>50</v>
      </c>
      <c r="D753" s="1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tr">
        <f t="shared" si="1"/>
        <v>Middle Aged (31-54)</v>
      </c>
      <c r="N753" s="1" t="s">
        <v>20</v>
      </c>
    </row>
    <row r="754" ht="13.5" customHeight="1">
      <c r="A754" s="1">
        <v>22211.0</v>
      </c>
      <c r="B754" s="10" t="s">
        <v>48</v>
      </c>
      <c r="C754" s="10" t="s">
        <v>50</v>
      </c>
      <c r="D754" s="1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tr">
        <f t="shared" si="1"/>
        <v>Middle Aged (31-54)</v>
      </c>
      <c r="N754" s="1" t="s">
        <v>20</v>
      </c>
    </row>
    <row r="755" ht="13.5" customHeight="1">
      <c r="A755" s="1">
        <v>28087.0</v>
      </c>
      <c r="B755" s="10" t="s">
        <v>51</v>
      </c>
      <c r="C755" s="10" t="s">
        <v>49</v>
      </c>
      <c r="D755" s="1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tr">
        <f t="shared" si="1"/>
        <v>Adolescent (0-30)</v>
      </c>
      <c r="N755" s="1" t="s">
        <v>20</v>
      </c>
    </row>
    <row r="756" ht="13.5" customHeight="1">
      <c r="A756" s="1">
        <v>23668.0</v>
      </c>
      <c r="B756" s="10" t="s">
        <v>48</v>
      </c>
      <c r="C756" s="10" t="s">
        <v>49</v>
      </c>
      <c r="D756" s="1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tr">
        <f t="shared" si="1"/>
        <v>Old (54+)</v>
      </c>
      <c r="N756" s="1" t="s">
        <v>17</v>
      </c>
    </row>
    <row r="757" ht="13.5" customHeight="1">
      <c r="A757" s="1">
        <v>27441.0</v>
      </c>
      <c r="B757" s="10" t="s">
        <v>48</v>
      </c>
      <c r="C757" s="10" t="s">
        <v>50</v>
      </c>
      <c r="D757" s="1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tr">
        <f t="shared" si="1"/>
        <v>Middle Aged (31-54)</v>
      </c>
      <c r="N757" s="1" t="s">
        <v>20</v>
      </c>
    </row>
    <row r="758" ht="13.5" customHeight="1">
      <c r="A758" s="1">
        <v>27261.0</v>
      </c>
      <c r="B758" s="10" t="s">
        <v>48</v>
      </c>
      <c r="C758" s="10" t="s">
        <v>50</v>
      </c>
      <c r="D758" s="1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tr">
        <f t="shared" si="1"/>
        <v>Middle Aged (31-54)</v>
      </c>
      <c r="N758" s="1" t="s">
        <v>17</v>
      </c>
    </row>
    <row r="759" ht="13.5" customHeight="1">
      <c r="A759" s="1">
        <v>18649.0</v>
      </c>
      <c r="B759" s="10" t="s">
        <v>51</v>
      </c>
      <c r="C759" s="10" t="s">
        <v>50</v>
      </c>
      <c r="D759" s="1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tr">
        <f t="shared" si="1"/>
        <v>Middle Aged (31-54)</v>
      </c>
      <c r="N759" s="1" t="s">
        <v>17</v>
      </c>
    </row>
    <row r="760" ht="13.5" customHeight="1">
      <c r="A760" s="1">
        <v>21714.0</v>
      </c>
      <c r="B760" s="10" t="s">
        <v>51</v>
      </c>
      <c r="C760" s="10" t="s">
        <v>49</v>
      </c>
      <c r="D760" s="1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tr">
        <f t="shared" si="1"/>
        <v>Middle Aged (31-54)</v>
      </c>
      <c r="N760" s="1" t="s">
        <v>20</v>
      </c>
    </row>
    <row r="761" ht="13.5" customHeight="1">
      <c r="A761" s="1">
        <v>23217.0</v>
      </c>
      <c r="B761" s="10" t="s">
        <v>51</v>
      </c>
      <c r="C761" s="10" t="s">
        <v>49</v>
      </c>
      <c r="D761" s="1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tr">
        <f t="shared" si="1"/>
        <v>Middle Aged (31-54)</v>
      </c>
      <c r="N761" s="1" t="s">
        <v>17</v>
      </c>
    </row>
    <row r="762" ht="13.5" customHeight="1">
      <c r="A762" s="1">
        <v>23797.0</v>
      </c>
      <c r="B762" s="10" t="s">
        <v>51</v>
      </c>
      <c r="C762" s="10" t="s">
        <v>50</v>
      </c>
      <c r="D762" s="1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tr">
        <f t="shared" si="1"/>
        <v>Middle Aged (31-54)</v>
      </c>
      <c r="N762" s="1" t="s">
        <v>20</v>
      </c>
    </row>
    <row r="763" ht="13.5" customHeight="1">
      <c r="A763" s="1">
        <v>13216.0</v>
      </c>
      <c r="B763" s="10" t="s">
        <v>48</v>
      </c>
      <c r="C763" s="10" t="s">
        <v>49</v>
      </c>
      <c r="D763" s="1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0" t="s">
        <v>52</v>
      </c>
      <c r="K763" s="1" t="s">
        <v>35</v>
      </c>
      <c r="L763" s="1">
        <v>59.0</v>
      </c>
      <c r="M763" s="1" t="str">
        <f t="shared" si="1"/>
        <v>Old (54+)</v>
      </c>
      <c r="N763" s="1" t="s">
        <v>20</v>
      </c>
    </row>
    <row r="764" ht="13.5" customHeight="1">
      <c r="A764" s="1">
        <v>20657.0</v>
      </c>
      <c r="B764" s="10" t="s">
        <v>51</v>
      </c>
      <c r="C764" s="10" t="s">
        <v>50</v>
      </c>
      <c r="D764" s="1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tr">
        <f t="shared" si="1"/>
        <v>Middle Aged (31-54)</v>
      </c>
      <c r="N764" s="1" t="s">
        <v>17</v>
      </c>
    </row>
    <row r="765" ht="13.5" customHeight="1">
      <c r="A765" s="1">
        <v>12882.0</v>
      </c>
      <c r="B765" s="10" t="s">
        <v>48</v>
      </c>
      <c r="C765" s="10" t="s">
        <v>50</v>
      </c>
      <c r="D765" s="1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tr">
        <f t="shared" si="1"/>
        <v>Middle Aged (31-54)</v>
      </c>
      <c r="N765" s="1" t="s">
        <v>17</v>
      </c>
    </row>
    <row r="766" ht="13.5" customHeight="1">
      <c r="A766" s="1">
        <v>25908.0</v>
      </c>
      <c r="B766" s="10" t="s">
        <v>48</v>
      </c>
      <c r="C766" s="10" t="s">
        <v>49</v>
      </c>
      <c r="D766" s="1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tr">
        <f t="shared" si="1"/>
        <v>Adolescent (0-30)</v>
      </c>
      <c r="N766" s="1" t="s">
        <v>20</v>
      </c>
    </row>
    <row r="767" ht="13.5" customHeight="1">
      <c r="A767" s="1">
        <v>16753.0</v>
      </c>
      <c r="B767" s="10" t="s">
        <v>51</v>
      </c>
      <c r="C767" s="10" t="s">
        <v>49</v>
      </c>
      <c r="D767" s="1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tr">
        <f t="shared" si="1"/>
        <v>Middle Aged (31-54)</v>
      </c>
      <c r="N767" s="1" t="s">
        <v>17</v>
      </c>
    </row>
    <row r="768" ht="13.5" customHeight="1">
      <c r="A768" s="1">
        <v>14608.0</v>
      </c>
      <c r="B768" s="10" t="s">
        <v>48</v>
      </c>
      <c r="C768" s="10" t="s">
        <v>50</v>
      </c>
      <c r="D768" s="1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0" t="s">
        <v>52</v>
      </c>
      <c r="K768" s="1" t="s">
        <v>35</v>
      </c>
      <c r="L768" s="1">
        <v>42.0</v>
      </c>
      <c r="M768" s="1" t="str">
        <f t="shared" si="1"/>
        <v>Middle Aged (31-54)</v>
      </c>
      <c r="N768" s="1" t="s">
        <v>20</v>
      </c>
    </row>
    <row r="769" ht="13.5" customHeight="1">
      <c r="A769" s="1">
        <v>24979.0</v>
      </c>
      <c r="B769" s="10" t="s">
        <v>48</v>
      </c>
      <c r="C769" s="10" t="s">
        <v>49</v>
      </c>
      <c r="D769" s="1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tr">
        <f t="shared" si="1"/>
        <v>Old (54+)</v>
      </c>
      <c r="N769" s="1" t="s">
        <v>17</v>
      </c>
    </row>
    <row r="770" ht="13.5" customHeight="1">
      <c r="A770" s="1">
        <v>13313.0</v>
      </c>
      <c r="B770" s="10" t="s">
        <v>48</v>
      </c>
      <c r="C770" s="10" t="s">
        <v>49</v>
      </c>
      <c r="D770" s="1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tr">
        <f t="shared" si="1"/>
        <v>Middle Aged (31-54)</v>
      </c>
      <c r="N770" s="1" t="s">
        <v>20</v>
      </c>
    </row>
    <row r="771" ht="13.5" customHeight="1">
      <c r="A771" s="1">
        <v>18952.0</v>
      </c>
      <c r="B771" s="10" t="s">
        <v>48</v>
      </c>
      <c r="C771" s="10" t="s">
        <v>49</v>
      </c>
      <c r="D771" s="1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tr">
        <f t="shared" si="1"/>
        <v>Middle Aged (31-54)</v>
      </c>
      <c r="N771" s="1" t="s">
        <v>20</v>
      </c>
    </row>
    <row r="772" ht="13.5" customHeight="1">
      <c r="A772" s="1">
        <v>17699.0</v>
      </c>
      <c r="B772" s="10" t="s">
        <v>48</v>
      </c>
      <c r="C772" s="10" t="s">
        <v>50</v>
      </c>
      <c r="D772" s="1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tr">
        <f t="shared" si="1"/>
        <v>Old (54+)</v>
      </c>
      <c r="N772" s="1" t="s">
        <v>20</v>
      </c>
    </row>
    <row r="773" ht="13.5" customHeight="1">
      <c r="A773" s="1">
        <v>14657.0</v>
      </c>
      <c r="B773" s="10" t="s">
        <v>48</v>
      </c>
      <c r="C773" s="10" t="s">
        <v>50</v>
      </c>
      <c r="D773" s="1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tr">
        <f t="shared" si="1"/>
        <v>Middle Aged (31-54)</v>
      </c>
      <c r="N773" s="1" t="s">
        <v>17</v>
      </c>
    </row>
    <row r="774" ht="13.5" customHeight="1">
      <c r="A774" s="1">
        <v>11540.0</v>
      </c>
      <c r="B774" s="10" t="s">
        <v>51</v>
      </c>
      <c r="C774" s="10" t="s">
        <v>50</v>
      </c>
      <c r="D774" s="1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tr">
        <f t="shared" si="1"/>
        <v>Middle Aged (31-54)</v>
      </c>
      <c r="N774" s="1" t="s">
        <v>17</v>
      </c>
    </row>
    <row r="775" ht="13.5" customHeight="1">
      <c r="A775" s="1">
        <v>11783.0</v>
      </c>
      <c r="B775" s="10" t="s">
        <v>48</v>
      </c>
      <c r="C775" s="10" t="s">
        <v>49</v>
      </c>
      <c r="D775" s="1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tr">
        <f t="shared" si="1"/>
        <v>Middle Aged (31-54)</v>
      </c>
      <c r="N775" s="1" t="s">
        <v>20</v>
      </c>
    </row>
    <row r="776" ht="13.5" customHeight="1">
      <c r="A776" s="1">
        <v>14602.0</v>
      </c>
      <c r="B776" s="10" t="s">
        <v>48</v>
      </c>
      <c r="C776" s="10" t="s">
        <v>49</v>
      </c>
      <c r="D776" s="1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tr">
        <f t="shared" si="1"/>
        <v>Middle Aged (31-54)</v>
      </c>
      <c r="N776" s="1" t="s">
        <v>17</v>
      </c>
    </row>
    <row r="777" ht="13.5" customHeight="1">
      <c r="A777" s="1">
        <v>29030.0</v>
      </c>
      <c r="B777" s="10" t="s">
        <v>48</v>
      </c>
      <c r="C777" s="10" t="s">
        <v>50</v>
      </c>
      <c r="D777" s="1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0" t="s">
        <v>52</v>
      </c>
      <c r="K777" s="1" t="s">
        <v>35</v>
      </c>
      <c r="L777" s="1">
        <v>54.0</v>
      </c>
      <c r="M777" s="1" t="str">
        <f t="shared" si="1"/>
        <v>Middle Aged (31-54)</v>
      </c>
      <c r="N777" s="1" t="s">
        <v>20</v>
      </c>
    </row>
    <row r="778" ht="13.5" customHeight="1">
      <c r="A778" s="1">
        <v>26490.0</v>
      </c>
      <c r="B778" s="10" t="s">
        <v>51</v>
      </c>
      <c r="C778" s="10" t="s">
        <v>50</v>
      </c>
      <c r="D778" s="1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tr">
        <f t="shared" si="1"/>
        <v>Old (54+)</v>
      </c>
      <c r="N778" s="1" t="s">
        <v>17</v>
      </c>
    </row>
    <row r="779" ht="13.5" customHeight="1">
      <c r="A779" s="1">
        <v>13151.0</v>
      </c>
      <c r="B779" s="10" t="s">
        <v>51</v>
      </c>
      <c r="C779" s="10" t="s">
        <v>50</v>
      </c>
      <c r="D779" s="1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tr">
        <f t="shared" si="1"/>
        <v>Adolescent (0-30)</v>
      </c>
      <c r="N779" s="1" t="s">
        <v>20</v>
      </c>
    </row>
    <row r="780" ht="13.5" customHeight="1">
      <c r="A780" s="1">
        <v>17260.0</v>
      </c>
      <c r="B780" s="10" t="s">
        <v>48</v>
      </c>
      <c r="C780" s="10" t="s">
        <v>50</v>
      </c>
      <c r="D780" s="1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tr">
        <f t="shared" si="1"/>
        <v>Middle Aged (31-54)</v>
      </c>
      <c r="N780" s="1" t="s">
        <v>20</v>
      </c>
    </row>
    <row r="781" ht="13.5" customHeight="1">
      <c r="A781" s="1">
        <v>15372.0</v>
      </c>
      <c r="B781" s="10" t="s">
        <v>48</v>
      </c>
      <c r="C781" s="10" t="s">
        <v>50</v>
      </c>
      <c r="D781" s="1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tr">
        <f t="shared" si="1"/>
        <v>Middle Aged (31-54)</v>
      </c>
      <c r="N781" s="1" t="s">
        <v>17</v>
      </c>
    </row>
    <row r="782" ht="13.5" customHeight="1">
      <c r="A782" s="1">
        <v>18105.0</v>
      </c>
      <c r="B782" s="10" t="s">
        <v>48</v>
      </c>
      <c r="C782" s="10" t="s">
        <v>49</v>
      </c>
      <c r="D782" s="1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0" t="s">
        <v>52</v>
      </c>
      <c r="K782" s="1" t="s">
        <v>35</v>
      </c>
      <c r="L782" s="1">
        <v>55.0</v>
      </c>
      <c r="M782" s="1" t="str">
        <f t="shared" si="1"/>
        <v>Old (54+)</v>
      </c>
      <c r="N782" s="1" t="s">
        <v>20</v>
      </c>
    </row>
    <row r="783" ht="13.5" customHeight="1">
      <c r="A783" s="1">
        <v>19660.0</v>
      </c>
      <c r="B783" s="10" t="s">
        <v>48</v>
      </c>
      <c r="C783" s="10" t="s">
        <v>50</v>
      </c>
      <c r="D783" s="1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tr">
        <f t="shared" si="1"/>
        <v>Middle Aged (31-54)</v>
      </c>
      <c r="N783" s="1" t="s">
        <v>20</v>
      </c>
    </row>
    <row r="784" ht="13.5" customHeight="1">
      <c r="A784" s="1">
        <v>16112.0</v>
      </c>
      <c r="B784" s="10" t="s">
        <v>51</v>
      </c>
      <c r="C784" s="10" t="s">
        <v>50</v>
      </c>
      <c r="D784" s="1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tr">
        <f t="shared" si="1"/>
        <v>Middle Aged (31-54)</v>
      </c>
      <c r="N784" s="1" t="s">
        <v>17</v>
      </c>
    </row>
    <row r="785" ht="13.5" customHeight="1">
      <c r="A785" s="1">
        <v>20698.0</v>
      </c>
      <c r="B785" s="10" t="s">
        <v>48</v>
      </c>
      <c r="C785" s="10" t="s">
        <v>50</v>
      </c>
      <c r="D785" s="1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tr">
        <f t="shared" si="1"/>
        <v>Middle Aged (31-54)</v>
      </c>
      <c r="N785" s="1" t="s">
        <v>20</v>
      </c>
    </row>
    <row r="786" ht="13.5" customHeight="1">
      <c r="A786" s="1">
        <v>20076.0</v>
      </c>
      <c r="B786" s="10" t="s">
        <v>51</v>
      </c>
      <c r="C786" s="10" t="s">
        <v>49</v>
      </c>
      <c r="D786" s="1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tr">
        <f t="shared" si="1"/>
        <v>Middle Aged (31-54)</v>
      </c>
      <c r="N786" s="1" t="s">
        <v>17</v>
      </c>
    </row>
    <row r="787" ht="13.5" customHeight="1">
      <c r="A787" s="1">
        <v>24496.0</v>
      </c>
      <c r="B787" s="10" t="s">
        <v>51</v>
      </c>
      <c r="C787" s="10" t="s">
        <v>49</v>
      </c>
      <c r="D787" s="1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tr">
        <f t="shared" si="1"/>
        <v>Adolescent (0-30)</v>
      </c>
      <c r="N787" s="1" t="s">
        <v>17</v>
      </c>
    </row>
    <row r="788" ht="13.5" customHeight="1">
      <c r="A788" s="1">
        <v>15468.0</v>
      </c>
      <c r="B788" s="10" t="s">
        <v>48</v>
      </c>
      <c r="C788" s="10" t="s">
        <v>49</v>
      </c>
      <c r="D788" s="1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tr">
        <f t="shared" si="1"/>
        <v>Middle Aged (31-54)</v>
      </c>
      <c r="N788" s="1" t="s">
        <v>20</v>
      </c>
    </row>
    <row r="789" ht="13.5" customHeight="1">
      <c r="A789" s="1">
        <v>28031.0</v>
      </c>
      <c r="B789" s="10" t="s">
        <v>51</v>
      </c>
      <c r="C789" s="10" t="s">
        <v>49</v>
      </c>
      <c r="D789" s="1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tr">
        <f t="shared" si="1"/>
        <v>Old (54+)</v>
      </c>
      <c r="N789" s="1" t="s">
        <v>17</v>
      </c>
    </row>
    <row r="790" ht="13.5" customHeight="1">
      <c r="A790" s="1">
        <v>26270.0</v>
      </c>
      <c r="B790" s="10" t="s">
        <v>51</v>
      </c>
      <c r="C790" s="10" t="s">
        <v>49</v>
      </c>
      <c r="D790" s="1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tr">
        <f t="shared" si="1"/>
        <v>Middle Aged (31-54)</v>
      </c>
      <c r="N790" s="1" t="s">
        <v>20</v>
      </c>
    </row>
    <row r="791" ht="13.5" customHeight="1">
      <c r="A791" s="1">
        <v>22221.0</v>
      </c>
      <c r="B791" s="10" t="s">
        <v>48</v>
      </c>
      <c r="C791" s="10" t="s">
        <v>50</v>
      </c>
      <c r="D791" s="1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tr">
        <f t="shared" si="1"/>
        <v>Middle Aged (31-54)</v>
      </c>
      <c r="N791" s="1" t="s">
        <v>17</v>
      </c>
    </row>
    <row r="792" ht="13.5" customHeight="1">
      <c r="A792" s="1">
        <v>28228.0</v>
      </c>
      <c r="B792" s="10" t="s">
        <v>51</v>
      </c>
      <c r="C792" s="10" t="s">
        <v>49</v>
      </c>
      <c r="D792" s="1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tr">
        <f t="shared" si="1"/>
        <v>Middle Aged (31-54)</v>
      </c>
      <c r="N792" s="1" t="s">
        <v>20</v>
      </c>
    </row>
    <row r="793" ht="13.5" customHeight="1">
      <c r="A793" s="1">
        <v>18363.0</v>
      </c>
      <c r="B793" s="10" t="s">
        <v>48</v>
      </c>
      <c r="C793" s="10" t="s">
        <v>50</v>
      </c>
      <c r="D793" s="1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tr">
        <f t="shared" si="1"/>
        <v>Adolescent (0-30)</v>
      </c>
      <c r="N793" s="1" t="s">
        <v>17</v>
      </c>
    </row>
    <row r="794" ht="13.5" customHeight="1">
      <c r="A794" s="1">
        <v>23256.0</v>
      </c>
      <c r="B794" s="10" t="s">
        <v>51</v>
      </c>
      <c r="C794" s="10" t="s">
        <v>50</v>
      </c>
      <c r="D794" s="1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tr">
        <f t="shared" si="1"/>
        <v>Middle Aged (31-54)</v>
      </c>
      <c r="N794" s="1" t="s">
        <v>20</v>
      </c>
    </row>
    <row r="795" ht="13.5" customHeight="1">
      <c r="A795" s="1">
        <v>12768.0</v>
      </c>
      <c r="B795" s="10" t="s">
        <v>48</v>
      </c>
      <c r="C795" s="10" t="s">
        <v>50</v>
      </c>
      <c r="D795" s="1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tr">
        <f t="shared" si="1"/>
        <v>Middle Aged (31-54)</v>
      </c>
      <c r="N795" s="1" t="s">
        <v>17</v>
      </c>
    </row>
    <row r="796" ht="13.5" customHeight="1">
      <c r="A796" s="1">
        <v>20361.0</v>
      </c>
      <c r="B796" s="10" t="s">
        <v>48</v>
      </c>
      <c r="C796" s="10" t="s">
        <v>50</v>
      </c>
      <c r="D796" s="1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tr">
        <f t="shared" si="1"/>
        <v>Old (54+)</v>
      </c>
      <c r="N796" s="1" t="s">
        <v>20</v>
      </c>
    </row>
    <row r="797" ht="13.5" customHeight="1">
      <c r="A797" s="1">
        <v>21306.0</v>
      </c>
      <c r="B797" s="10" t="s">
        <v>51</v>
      </c>
      <c r="C797" s="10" t="s">
        <v>50</v>
      </c>
      <c r="D797" s="1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tr">
        <f t="shared" si="1"/>
        <v>Middle Aged (31-54)</v>
      </c>
      <c r="N797" s="1" t="s">
        <v>20</v>
      </c>
    </row>
    <row r="798" ht="13.5" customHeight="1">
      <c r="A798" s="1">
        <v>13382.0</v>
      </c>
      <c r="B798" s="10" t="s">
        <v>48</v>
      </c>
      <c r="C798" s="10" t="s">
        <v>50</v>
      </c>
      <c r="D798" s="1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tr">
        <f t="shared" si="1"/>
        <v>Old (54+)</v>
      </c>
      <c r="N798" s="1" t="s">
        <v>17</v>
      </c>
    </row>
    <row r="799" ht="13.5" customHeight="1">
      <c r="A799" s="1">
        <v>20310.0</v>
      </c>
      <c r="B799" s="10" t="s">
        <v>51</v>
      </c>
      <c r="C799" s="10" t="s">
        <v>50</v>
      </c>
      <c r="D799" s="1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tr">
        <f t="shared" si="1"/>
        <v>Adolescent (0-30)</v>
      </c>
      <c r="N799" s="1" t="s">
        <v>17</v>
      </c>
    </row>
    <row r="800" ht="13.5" customHeight="1">
      <c r="A800" s="1">
        <v>22971.0</v>
      </c>
      <c r="B800" s="10" t="s">
        <v>51</v>
      </c>
      <c r="C800" s="10" t="s">
        <v>49</v>
      </c>
      <c r="D800" s="1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tr">
        <f t="shared" si="1"/>
        <v>Adolescent (0-30)</v>
      </c>
      <c r="N800" s="1" t="s">
        <v>17</v>
      </c>
    </row>
    <row r="801" ht="13.5" customHeight="1">
      <c r="A801" s="1">
        <v>15287.0</v>
      </c>
      <c r="B801" s="10" t="s">
        <v>51</v>
      </c>
      <c r="C801" s="10" t="s">
        <v>49</v>
      </c>
      <c r="D801" s="1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tr">
        <f t="shared" si="1"/>
        <v>Middle Aged (31-54)</v>
      </c>
      <c r="N801" s="1" t="s">
        <v>17</v>
      </c>
    </row>
    <row r="802" ht="13.5" customHeight="1">
      <c r="A802" s="1">
        <v>15532.0</v>
      </c>
      <c r="B802" s="10" t="s">
        <v>51</v>
      </c>
      <c r="C802" s="10" t="s">
        <v>50</v>
      </c>
      <c r="D802" s="1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tr">
        <f t="shared" si="1"/>
        <v>Middle Aged (31-54)</v>
      </c>
      <c r="N802" s="1" t="s">
        <v>17</v>
      </c>
    </row>
    <row r="803" ht="13.5" customHeight="1">
      <c r="A803" s="1">
        <v>11255.0</v>
      </c>
      <c r="B803" s="10" t="s">
        <v>48</v>
      </c>
      <c r="C803" s="10" t="s">
        <v>50</v>
      </c>
      <c r="D803" s="1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tr">
        <f t="shared" si="1"/>
        <v>Old (54+)</v>
      </c>
      <c r="N803" s="1" t="s">
        <v>20</v>
      </c>
    </row>
    <row r="804" ht="13.5" customHeight="1">
      <c r="A804" s="1">
        <v>28090.0</v>
      </c>
      <c r="B804" s="10" t="s">
        <v>48</v>
      </c>
      <c r="C804" s="10" t="s">
        <v>50</v>
      </c>
      <c r="D804" s="1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tr">
        <f t="shared" si="1"/>
        <v>Adolescent (0-30)</v>
      </c>
      <c r="N804" s="1" t="s">
        <v>20</v>
      </c>
    </row>
    <row r="805" ht="13.5" customHeight="1">
      <c r="A805" s="1">
        <v>15255.0</v>
      </c>
      <c r="B805" s="10" t="s">
        <v>48</v>
      </c>
      <c r="C805" s="10" t="s">
        <v>50</v>
      </c>
      <c r="D805" s="1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tr">
        <f t="shared" si="1"/>
        <v>Adolescent (0-30)</v>
      </c>
      <c r="N805" s="1" t="s">
        <v>17</v>
      </c>
    </row>
    <row r="806" ht="13.5" customHeight="1">
      <c r="A806" s="1">
        <v>13154.0</v>
      </c>
      <c r="B806" s="10" t="s">
        <v>48</v>
      </c>
      <c r="C806" s="10" t="s">
        <v>50</v>
      </c>
      <c r="D806" s="1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tr">
        <f t="shared" si="1"/>
        <v>Adolescent (0-30)</v>
      </c>
      <c r="N806" s="1" t="s">
        <v>17</v>
      </c>
    </row>
    <row r="807" ht="13.5" customHeight="1">
      <c r="A807" s="1">
        <v>26778.0</v>
      </c>
      <c r="B807" s="10" t="s">
        <v>51</v>
      </c>
      <c r="C807" s="10" t="s">
        <v>49</v>
      </c>
      <c r="D807" s="1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tr">
        <f t="shared" si="1"/>
        <v>Middle Aged (31-54)</v>
      </c>
      <c r="N807" s="1" t="s">
        <v>20</v>
      </c>
    </row>
    <row r="808" ht="13.5" customHeight="1">
      <c r="A808" s="1">
        <v>23248.0</v>
      </c>
      <c r="B808" s="10" t="s">
        <v>48</v>
      </c>
      <c r="C808" s="10" t="s">
        <v>49</v>
      </c>
      <c r="D808" s="1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tr">
        <f t="shared" si="1"/>
        <v>Middle Aged (31-54)</v>
      </c>
      <c r="N808" s="1" t="s">
        <v>20</v>
      </c>
    </row>
    <row r="809" ht="13.5" customHeight="1">
      <c r="A809" s="1">
        <v>21417.0</v>
      </c>
      <c r="B809" s="10" t="s">
        <v>51</v>
      </c>
      <c r="C809" s="10" t="s">
        <v>49</v>
      </c>
      <c r="D809" s="1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tr">
        <f t="shared" si="1"/>
        <v>Middle Aged (31-54)</v>
      </c>
      <c r="N809" s="1" t="s">
        <v>17</v>
      </c>
    </row>
    <row r="810" ht="13.5" customHeight="1">
      <c r="A810" s="1">
        <v>17668.0</v>
      </c>
      <c r="B810" s="10" t="s">
        <v>51</v>
      </c>
      <c r="C810" s="10" t="s">
        <v>50</v>
      </c>
      <c r="D810" s="1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tr">
        <f t="shared" si="1"/>
        <v>Middle Aged (31-54)</v>
      </c>
      <c r="N810" s="1" t="s">
        <v>17</v>
      </c>
    </row>
    <row r="811" ht="13.5" customHeight="1">
      <c r="A811" s="1">
        <v>27994.0</v>
      </c>
      <c r="B811" s="10" t="s">
        <v>48</v>
      </c>
      <c r="C811" s="10" t="s">
        <v>49</v>
      </c>
      <c r="D811" s="1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tr">
        <f t="shared" si="1"/>
        <v>Old (54+)</v>
      </c>
      <c r="N811" s="1" t="s">
        <v>20</v>
      </c>
    </row>
    <row r="812" ht="13.5" customHeight="1">
      <c r="A812" s="1">
        <v>20376.0</v>
      </c>
      <c r="B812" s="10" t="s">
        <v>51</v>
      </c>
      <c r="C812" s="10" t="s">
        <v>49</v>
      </c>
      <c r="D812" s="1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tr">
        <f t="shared" si="1"/>
        <v>Middle Aged (31-54)</v>
      </c>
      <c r="N812" s="1" t="s">
        <v>17</v>
      </c>
    </row>
    <row r="813" ht="13.5" customHeight="1">
      <c r="A813" s="1">
        <v>25954.0</v>
      </c>
      <c r="B813" s="10" t="s">
        <v>48</v>
      </c>
      <c r="C813" s="10" t="s">
        <v>50</v>
      </c>
      <c r="D813" s="1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tr">
        <f t="shared" si="1"/>
        <v>Middle Aged (31-54)</v>
      </c>
      <c r="N813" s="1" t="s">
        <v>20</v>
      </c>
    </row>
    <row r="814" ht="13.5" customHeight="1">
      <c r="A814" s="1">
        <v>15749.0</v>
      </c>
      <c r="B814" s="10" t="s">
        <v>51</v>
      </c>
      <c r="C814" s="10" t="s">
        <v>49</v>
      </c>
      <c r="D814" s="1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0" t="s">
        <v>52</v>
      </c>
      <c r="K814" s="1" t="s">
        <v>35</v>
      </c>
      <c r="L814" s="1">
        <v>61.0</v>
      </c>
      <c r="M814" s="1" t="str">
        <f t="shared" si="1"/>
        <v>Old (54+)</v>
      </c>
      <c r="N814" s="1" t="s">
        <v>20</v>
      </c>
    </row>
    <row r="815" ht="13.5" customHeight="1">
      <c r="A815" s="1">
        <v>25899.0</v>
      </c>
      <c r="B815" s="10" t="s">
        <v>48</v>
      </c>
      <c r="C815" s="10" t="s">
        <v>49</v>
      </c>
      <c r="D815" s="1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0" t="s">
        <v>52</v>
      </c>
      <c r="K815" s="1" t="s">
        <v>35</v>
      </c>
      <c r="L815" s="1">
        <v>53.0</v>
      </c>
      <c r="M815" s="1" t="str">
        <f t="shared" si="1"/>
        <v>Middle Aged (31-54)</v>
      </c>
      <c r="N815" s="1" t="s">
        <v>20</v>
      </c>
    </row>
    <row r="816" ht="13.5" customHeight="1">
      <c r="A816" s="1">
        <v>13351.0</v>
      </c>
      <c r="B816" s="10" t="s">
        <v>51</v>
      </c>
      <c r="C816" s="10" t="s">
        <v>49</v>
      </c>
      <c r="D816" s="1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tr">
        <f t="shared" si="1"/>
        <v>Old (54+)</v>
      </c>
      <c r="N816" s="1" t="s">
        <v>17</v>
      </c>
    </row>
    <row r="817" ht="13.5" customHeight="1">
      <c r="A817" s="1">
        <v>23333.0</v>
      </c>
      <c r="B817" s="10" t="s">
        <v>48</v>
      </c>
      <c r="C817" s="10" t="s">
        <v>50</v>
      </c>
      <c r="D817" s="1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tr">
        <f t="shared" si="1"/>
        <v>Adolescent (0-30)</v>
      </c>
      <c r="N817" s="1" t="s">
        <v>20</v>
      </c>
    </row>
    <row r="818" ht="13.5" customHeight="1">
      <c r="A818" s="1">
        <v>21660.0</v>
      </c>
      <c r="B818" s="10" t="s">
        <v>48</v>
      </c>
      <c r="C818" s="10" t="s">
        <v>49</v>
      </c>
      <c r="D818" s="1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tr">
        <f t="shared" si="1"/>
        <v>Middle Aged (31-54)</v>
      </c>
      <c r="N818" s="1" t="s">
        <v>17</v>
      </c>
    </row>
    <row r="819" ht="13.5" customHeight="1">
      <c r="A819" s="1">
        <v>17012.0</v>
      </c>
      <c r="B819" s="10" t="s">
        <v>48</v>
      </c>
      <c r="C819" s="10" t="s">
        <v>49</v>
      </c>
      <c r="D819" s="1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tr">
        <f t="shared" si="1"/>
        <v>Middle Aged (31-54)</v>
      </c>
      <c r="N819" s="1" t="s">
        <v>17</v>
      </c>
    </row>
    <row r="820" ht="13.5" customHeight="1">
      <c r="A820" s="1">
        <v>24514.0</v>
      </c>
      <c r="B820" s="10" t="s">
        <v>48</v>
      </c>
      <c r="C820" s="10" t="s">
        <v>50</v>
      </c>
      <c r="D820" s="1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tr">
        <f t="shared" si="1"/>
        <v>Adolescent (0-30)</v>
      </c>
      <c r="N820" s="1" t="s">
        <v>20</v>
      </c>
    </row>
    <row r="821" ht="13.5" customHeight="1">
      <c r="A821" s="1">
        <v>27505.0</v>
      </c>
      <c r="B821" s="10" t="s">
        <v>51</v>
      </c>
      <c r="C821" s="10" t="s">
        <v>49</v>
      </c>
      <c r="D821" s="1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tr">
        <f t="shared" si="1"/>
        <v>Adolescent (0-30)</v>
      </c>
      <c r="N821" s="1" t="s">
        <v>20</v>
      </c>
    </row>
    <row r="822" ht="13.5" customHeight="1">
      <c r="A822" s="1">
        <v>29243.0</v>
      </c>
      <c r="B822" s="10" t="s">
        <v>51</v>
      </c>
      <c r="C822" s="10" t="s">
        <v>50</v>
      </c>
      <c r="D822" s="1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tr">
        <f t="shared" si="1"/>
        <v>Middle Aged (31-54)</v>
      </c>
      <c r="N822" s="1" t="s">
        <v>20</v>
      </c>
    </row>
    <row r="823" ht="13.5" customHeight="1">
      <c r="A823" s="1">
        <v>26582.0</v>
      </c>
      <c r="B823" s="10" t="s">
        <v>48</v>
      </c>
      <c r="C823" s="10" t="s">
        <v>50</v>
      </c>
      <c r="D823" s="1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tr">
        <f t="shared" si="1"/>
        <v>Middle Aged (31-54)</v>
      </c>
      <c r="N823" s="1" t="s">
        <v>17</v>
      </c>
    </row>
    <row r="824" ht="13.5" customHeight="1">
      <c r="A824" s="1">
        <v>14271.0</v>
      </c>
      <c r="B824" s="10" t="s">
        <v>48</v>
      </c>
      <c r="C824" s="10" t="s">
        <v>50</v>
      </c>
      <c r="D824" s="1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tr">
        <f t="shared" si="1"/>
        <v>Middle Aged (31-54)</v>
      </c>
      <c r="N824" s="1" t="s">
        <v>20</v>
      </c>
    </row>
    <row r="825" ht="13.5" customHeight="1">
      <c r="A825" s="1">
        <v>23041.0</v>
      </c>
      <c r="B825" s="10" t="s">
        <v>51</v>
      </c>
      <c r="C825" s="10" t="s">
        <v>49</v>
      </c>
      <c r="D825" s="1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tr">
        <f t="shared" si="1"/>
        <v>Middle Aged (31-54)</v>
      </c>
      <c r="N825" s="1" t="s">
        <v>17</v>
      </c>
    </row>
    <row r="826" ht="13.5" customHeight="1">
      <c r="A826" s="1">
        <v>29048.0</v>
      </c>
      <c r="B826" s="10" t="s">
        <v>51</v>
      </c>
      <c r="C826" s="10" t="s">
        <v>50</v>
      </c>
      <c r="D826" s="1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tr">
        <f t="shared" si="1"/>
        <v>Middle Aged (31-54)</v>
      </c>
      <c r="N826" s="1" t="s">
        <v>17</v>
      </c>
    </row>
    <row r="827" ht="13.5" customHeight="1">
      <c r="A827" s="1">
        <v>24433.0</v>
      </c>
      <c r="B827" s="10" t="s">
        <v>48</v>
      </c>
      <c r="C827" s="10" t="s">
        <v>50</v>
      </c>
      <c r="D827" s="1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tr">
        <f t="shared" si="1"/>
        <v>Middle Aged (31-54)</v>
      </c>
      <c r="N827" s="1" t="s">
        <v>17</v>
      </c>
    </row>
    <row r="828" ht="13.5" customHeight="1">
      <c r="A828" s="1">
        <v>15501.0</v>
      </c>
      <c r="B828" s="10" t="s">
        <v>48</v>
      </c>
      <c r="C828" s="10" t="s">
        <v>50</v>
      </c>
      <c r="D828" s="1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tr">
        <f t="shared" si="1"/>
        <v>Middle Aged (31-54)</v>
      </c>
      <c r="N828" s="1" t="s">
        <v>17</v>
      </c>
    </row>
    <row r="829" ht="13.5" customHeight="1">
      <c r="A829" s="1">
        <v>13911.0</v>
      </c>
      <c r="B829" s="10" t="s">
        <v>51</v>
      </c>
      <c r="C829" s="10" t="s">
        <v>49</v>
      </c>
      <c r="D829" s="1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tr">
        <f t="shared" si="1"/>
        <v>Middle Aged (31-54)</v>
      </c>
      <c r="N829" s="1" t="s">
        <v>17</v>
      </c>
    </row>
    <row r="830" ht="13.5" customHeight="1">
      <c r="A830" s="1">
        <v>20421.0</v>
      </c>
      <c r="B830" s="10" t="s">
        <v>51</v>
      </c>
      <c r="C830" s="10" t="s">
        <v>49</v>
      </c>
      <c r="D830" s="1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tr">
        <f t="shared" si="1"/>
        <v>Adolescent (0-30)</v>
      </c>
      <c r="N830" s="1" t="s">
        <v>20</v>
      </c>
    </row>
    <row r="831" ht="13.5" customHeight="1">
      <c r="A831" s="1">
        <v>16009.0</v>
      </c>
      <c r="B831" s="10" t="s">
        <v>51</v>
      </c>
      <c r="C831" s="10" t="s">
        <v>50</v>
      </c>
      <c r="D831" s="1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tr">
        <f t="shared" si="1"/>
        <v>Old (54+)</v>
      </c>
      <c r="N831" s="1" t="s">
        <v>20</v>
      </c>
    </row>
    <row r="832" ht="13.5" customHeight="1">
      <c r="A832" s="1">
        <v>18411.0</v>
      </c>
      <c r="B832" s="10" t="s">
        <v>48</v>
      </c>
      <c r="C832" s="10" t="s">
        <v>50</v>
      </c>
      <c r="D832" s="1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tr">
        <f t="shared" si="1"/>
        <v>Middle Aged (31-54)</v>
      </c>
      <c r="N832" s="1" t="s">
        <v>20</v>
      </c>
    </row>
    <row r="833" ht="13.5" customHeight="1">
      <c r="A833" s="1">
        <v>19163.0</v>
      </c>
      <c r="B833" s="10" t="s">
        <v>48</v>
      </c>
      <c r="C833" s="10" t="s">
        <v>49</v>
      </c>
      <c r="D833" s="1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tr">
        <f t="shared" si="1"/>
        <v>Middle Aged (31-54)</v>
      </c>
      <c r="N833" s="1" t="s">
        <v>17</v>
      </c>
    </row>
    <row r="834" ht="13.5" customHeight="1">
      <c r="A834" s="1">
        <v>18572.0</v>
      </c>
      <c r="B834" s="10" t="s">
        <v>48</v>
      </c>
      <c r="C834" s="10" t="s">
        <v>49</v>
      </c>
      <c r="D834" s="1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tr">
        <f t="shared" si="1"/>
        <v>Middle Aged (31-54)</v>
      </c>
      <c r="N834" s="1" t="s">
        <v>20</v>
      </c>
    </row>
    <row r="835" ht="13.5" customHeight="1">
      <c r="A835" s="1">
        <v>27540.0</v>
      </c>
      <c r="B835" s="10" t="s">
        <v>51</v>
      </c>
      <c r="C835" s="10" t="s">
        <v>49</v>
      </c>
      <c r="D835" s="1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tr">
        <f t="shared" si="1"/>
        <v>Middle Aged (31-54)</v>
      </c>
      <c r="N835" s="1" t="s">
        <v>17</v>
      </c>
    </row>
    <row r="836" ht="13.5" customHeight="1">
      <c r="A836" s="1">
        <v>19889.0</v>
      </c>
      <c r="B836" s="10" t="s">
        <v>51</v>
      </c>
      <c r="C836" s="10" t="s">
        <v>49</v>
      </c>
      <c r="D836" s="1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tr">
        <f t="shared" si="1"/>
        <v>Middle Aged (31-54)</v>
      </c>
      <c r="N836" s="1" t="s">
        <v>17</v>
      </c>
    </row>
    <row r="837" ht="13.5" customHeight="1">
      <c r="A837" s="1">
        <v>12922.0</v>
      </c>
      <c r="B837" s="10" t="s">
        <v>51</v>
      </c>
      <c r="C837" s="10" t="s">
        <v>49</v>
      </c>
      <c r="D837" s="1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tr">
        <f t="shared" si="1"/>
        <v>Middle Aged (31-54)</v>
      </c>
      <c r="N837" s="1" t="s">
        <v>17</v>
      </c>
    </row>
    <row r="838" ht="13.5" customHeight="1">
      <c r="A838" s="1">
        <v>18891.0</v>
      </c>
      <c r="B838" s="10" t="s">
        <v>48</v>
      </c>
      <c r="C838" s="10" t="s">
        <v>49</v>
      </c>
      <c r="D838" s="1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tr">
        <f t="shared" si="1"/>
        <v>Adolescent (0-30)</v>
      </c>
      <c r="N838" s="1" t="s">
        <v>20</v>
      </c>
    </row>
    <row r="839" ht="13.5" customHeight="1">
      <c r="A839" s="1">
        <v>16773.0</v>
      </c>
      <c r="B839" s="10" t="s">
        <v>48</v>
      </c>
      <c r="C839" s="10" t="s">
        <v>50</v>
      </c>
      <c r="D839" s="1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tr">
        <f t="shared" si="1"/>
        <v>Middle Aged (31-54)</v>
      </c>
      <c r="N839" s="1" t="s">
        <v>20</v>
      </c>
    </row>
    <row r="840" ht="13.5" customHeight="1">
      <c r="A840" s="1">
        <v>19143.0</v>
      </c>
      <c r="B840" s="10" t="s">
        <v>51</v>
      </c>
      <c r="C840" s="10" t="s">
        <v>49</v>
      </c>
      <c r="D840" s="1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tr">
        <f t="shared" si="1"/>
        <v>Middle Aged (31-54)</v>
      </c>
      <c r="N840" s="1" t="s">
        <v>17</v>
      </c>
    </row>
    <row r="841" ht="13.5" customHeight="1">
      <c r="A841" s="1">
        <v>23882.0</v>
      </c>
      <c r="B841" s="10" t="s">
        <v>51</v>
      </c>
      <c r="C841" s="10" t="s">
        <v>49</v>
      </c>
      <c r="D841" s="1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tr">
        <f t="shared" si="1"/>
        <v>Middle Aged (31-54)</v>
      </c>
      <c r="N841" s="1" t="s">
        <v>17</v>
      </c>
    </row>
    <row r="842" ht="13.5" customHeight="1">
      <c r="A842" s="1">
        <v>11233.0</v>
      </c>
      <c r="B842" s="10" t="s">
        <v>48</v>
      </c>
      <c r="C842" s="10" t="s">
        <v>50</v>
      </c>
      <c r="D842" s="1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0" t="s">
        <v>52</v>
      </c>
      <c r="K842" s="1" t="s">
        <v>35</v>
      </c>
      <c r="L842" s="1">
        <v>53.0</v>
      </c>
      <c r="M842" s="1" t="str">
        <f t="shared" si="1"/>
        <v>Middle Aged (31-54)</v>
      </c>
      <c r="N842" s="1" t="s">
        <v>20</v>
      </c>
    </row>
    <row r="843" ht="13.5" customHeight="1">
      <c r="A843" s="1">
        <v>12056.0</v>
      </c>
      <c r="B843" s="10" t="s">
        <v>48</v>
      </c>
      <c r="C843" s="10" t="s">
        <v>50</v>
      </c>
      <c r="D843" s="1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tr">
        <f t="shared" si="1"/>
        <v>Old (54+)</v>
      </c>
      <c r="N843" s="1" t="s">
        <v>20</v>
      </c>
    </row>
    <row r="844" ht="13.5" customHeight="1">
      <c r="A844" s="1">
        <v>15555.0</v>
      </c>
      <c r="B844" s="10" t="s">
        <v>48</v>
      </c>
      <c r="C844" s="10" t="s">
        <v>49</v>
      </c>
      <c r="D844" s="1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tr">
        <f t="shared" si="1"/>
        <v>Middle Aged (31-54)</v>
      </c>
      <c r="N844" s="1" t="s">
        <v>17</v>
      </c>
    </row>
    <row r="845" ht="13.5" customHeight="1">
      <c r="A845" s="1">
        <v>18423.0</v>
      </c>
      <c r="B845" s="10" t="s">
        <v>51</v>
      </c>
      <c r="C845" s="10" t="s">
        <v>50</v>
      </c>
      <c r="D845" s="1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tr">
        <f t="shared" si="1"/>
        <v>Middle Aged (31-54)</v>
      </c>
      <c r="N845" s="1" t="s">
        <v>20</v>
      </c>
    </row>
    <row r="846" ht="13.5" customHeight="1">
      <c r="A846" s="1">
        <v>22743.0</v>
      </c>
      <c r="B846" s="10" t="s">
        <v>48</v>
      </c>
      <c r="C846" s="10" t="s">
        <v>49</v>
      </c>
      <c r="D846" s="1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0" t="s">
        <v>52</v>
      </c>
      <c r="K846" s="1" t="s">
        <v>35</v>
      </c>
      <c r="L846" s="1">
        <v>60.0</v>
      </c>
      <c r="M846" s="1" t="str">
        <f t="shared" si="1"/>
        <v>Old (54+)</v>
      </c>
      <c r="N846" s="1" t="s">
        <v>20</v>
      </c>
    </row>
    <row r="847" ht="13.5" customHeight="1">
      <c r="A847" s="1">
        <v>25343.0</v>
      </c>
      <c r="B847" s="10" t="s">
        <v>51</v>
      </c>
      <c r="C847" s="10" t="s">
        <v>49</v>
      </c>
      <c r="D847" s="1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tr">
        <f t="shared" si="1"/>
        <v>Middle Aged (31-54)</v>
      </c>
      <c r="N847" s="1" t="s">
        <v>20</v>
      </c>
    </row>
    <row r="848" ht="13.5" customHeight="1">
      <c r="A848" s="1">
        <v>13390.0</v>
      </c>
      <c r="B848" s="10" t="s">
        <v>48</v>
      </c>
      <c r="C848" s="10" t="s">
        <v>49</v>
      </c>
      <c r="D848" s="1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tr">
        <f t="shared" si="1"/>
        <v>Old (54+)</v>
      </c>
      <c r="N848" s="1" t="s">
        <v>20</v>
      </c>
    </row>
    <row r="849" ht="13.5" customHeight="1">
      <c r="A849" s="1">
        <v>17482.0</v>
      </c>
      <c r="B849" s="10" t="s">
        <v>51</v>
      </c>
      <c r="C849" s="10" t="s">
        <v>49</v>
      </c>
      <c r="D849" s="1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tr">
        <f t="shared" si="1"/>
        <v>Adolescent (0-30)</v>
      </c>
      <c r="N849" s="1" t="s">
        <v>20</v>
      </c>
    </row>
    <row r="850" ht="13.5" customHeight="1">
      <c r="A850" s="1">
        <v>13176.0</v>
      </c>
      <c r="B850" s="10" t="s">
        <v>51</v>
      </c>
      <c r="C850" s="10" t="s">
        <v>50</v>
      </c>
      <c r="D850" s="1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tr">
        <f t="shared" si="1"/>
        <v>Middle Aged (31-54)</v>
      </c>
      <c r="N850" s="1" t="s">
        <v>17</v>
      </c>
    </row>
    <row r="851" ht="13.5" customHeight="1">
      <c r="A851" s="1">
        <v>20504.0</v>
      </c>
      <c r="B851" s="10" t="s">
        <v>48</v>
      </c>
      <c r="C851" s="10" t="s">
        <v>49</v>
      </c>
      <c r="D851" s="1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tr">
        <f t="shared" si="1"/>
        <v>Old (54+)</v>
      </c>
      <c r="N851" s="1" t="s">
        <v>20</v>
      </c>
    </row>
    <row r="852" ht="13.5" customHeight="1">
      <c r="A852" s="1">
        <v>12205.0</v>
      </c>
      <c r="B852" s="10" t="s">
        <v>51</v>
      </c>
      <c r="C852" s="10" t="s">
        <v>49</v>
      </c>
      <c r="D852" s="1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tr">
        <f t="shared" si="1"/>
        <v>Old (54+)</v>
      </c>
      <c r="N852" s="1" t="s">
        <v>20</v>
      </c>
    </row>
    <row r="853" ht="13.5" customHeight="1">
      <c r="A853" s="1">
        <v>16751.0</v>
      </c>
      <c r="B853" s="10" t="s">
        <v>48</v>
      </c>
      <c r="C853" s="10" t="s">
        <v>50</v>
      </c>
      <c r="D853" s="1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tr">
        <f t="shared" si="1"/>
        <v>Middle Aged (31-54)</v>
      </c>
      <c r="N853" s="1" t="s">
        <v>17</v>
      </c>
    </row>
    <row r="854" ht="13.5" customHeight="1">
      <c r="A854" s="1">
        <v>21613.0</v>
      </c>
      <c r="B854" s="10" t="s">
        <v>51</v>
      </c>
      <c r="C854" s="10" t="s">
        <v>50</v>
      </c>
      <c r="D854" s="1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tr">
        <f t="shared" si="1"/>
        <v>Middle Aged (31-54)</v>
      </c>
      <c r="N854" s="1" t="s">
        <v>17</v>
      </c>
    </row>
    <row r="855" ht="13.5" customHeight="1">
      <c r="A855" s="1">
        <v>24801.0</v>
      </c>
      <c r="B855" s="10" t="s">
        <v>51</v>
      </c>
      <c r="C855" s="10" t="s">
        <v>50</v>
      </c>
      <c r="D855" s="1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tr">
        <f t="shared" si="1"/>
        <v>Middle Aged (31-54)</v>
      </c>
      <c r="N855" s="1" t="s">
        <v>17</v>
      </c>
    </row>
    <row r="856" ht="13.5" customHeight="1">
      <c r="A856" s="1">
        <v>17519.0</v>
      </c>
      <c r="B856" s="10" t="s">
        <v>48</v>
      </c>
      <c r="C856" s="10" t="s">
        <v>49</v>
      </c>
      <c r="D856" s="1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tr">
        <f t="shared" si="1"/>
        <v>Middle Aged (31-54)</v>
      </c>
      <c r="N856" s="1" t="s">
        <v>20</v>
      </c>
    </row>
    <row r="857" ht="13.5" customHeight="1">
      <c r="A857" s="1">
        <v>18347.0</v>
      </c>
      <c r="B857" s="10" t="s">
        <v>51</v>
      </c>
      <c r="C857" s="10" t="s">
        <v>49</v>
      </c>
      <c r="D857" s="1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tr">
        <f t="shared" si="1"/>
        <v>Middle Aged (31-54)</v>
      </c>
      <c r="N857" s="1" t="s">
        <v>20</v>
      </c>
    </row>
    <row r="858" ht="13.5" customHeight="1">
      <c r="A858" s="1">
        <v>29052.0</v>
      </c>
      <c r="B858" s="10" t="s">
        <v>51</v>
      </c>
      <c r="C858" s="10" t="s">
        <v>50</v>
      </c>
      <c r="D858" s="1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tr">
        <f t="shared" si="1"/>
        <v>Adolescent (0-30)</v>
      </c>
      <c r="N858" s="1" t="s">
        <v>20</v>
      </c>
    </row>
    <row r="859" ht="13.5" customHeight="1">
      <c r="A859" s="1">
        <v>11745.0</v>
      </c>
      <c r="B859" s="10" t="s">
        <v>48</v>
      </c>
      <c r="C859" s="10" t="s">
        <v>49</v>
      </c>
      <c r="D859" s="1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tr">
        <f t="shared" si="1"/>
        <v>Middle Aged (31-54)</v>
      </c>
      <c r="N859" s="1" t="s">
        <v>17</v>
      </c>
    </row>
    <row r="860" ht="13.5" customHeight="1">
      <c r="A860" s="1">
        <v>19147.0</v>
      </c>
      <c r="B860" s="10" t="s">
        <v>48</v>
      </c>
      <c r="C860" s="10" t="s">
        <v>50</v>
      </c>
      <c r="D860" s="1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tr">
        <f t="shared" si="1"/>
        <v>Middle Aged (31-54)</v>
      </c>
      <c r="N860" s="1" t="s">
        <v>20</v>
      </c>
    </row>
    <row r="861" ht="13.5" customHeight="1">
      <c r="A861" s="1">
        <v>19217.0</v>
      </c>
      <c r="B861" s="10" t="s">
        <v>48</v>
      </c>
      <c r="C861" s="10" t="s">
        <v>50</v>
      </c>
      <c r="D861" s="1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tr">
        <f t="shared" si="1"/>
        <v>Middle Aged (31-54)</v>
      </c>
      <c r="N861" s="1" t="s">
        <v>20</v>
      </c>
    </row>
    <row r="862" ht="13.5" customHeight="1">
      <c r="A862" s="1">
        <v>15839.0</v>
      </c>
      <c r="B862" s="10" t="s">
        <v>51</v>
      </c>
      <c r="C862" s="10" t="s">
        <v>50</v>
      </c>
      <c r="D862" s="1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tr">
        <f t="shared" si="1"/>
        <v>Middle Aged (31-54)</v>
      </c>
      <c r="N862" s="1" t="s">
        <v>20</v>
      </c>
    </row>
    <row r="863" ht="13.5" customHeight="1">
      <c r="A863" s="1">
        <v>13714.0</v>
      </c>
      <c r="B863" s="10" t="s">
        <v>48</v>
      </c>
      <c r="C863" s="10" t="s">
        <v>49</v>
      </c>
      <c r="D863" s="1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tr">
        <f t="shared" si="1"/>
        <v>Middle Aged (31-54)</v>
      </c>
      <c r="N863" s="1" t="s">
        <v>17</v>
      </c>
    </row>
    <row r="864" ht="13.5" customHeight="1">
      <c r="A864" s="1">
        <v>22330.0</v>
      </c>
      <c r="B864" s="10" t="s">
        <v>48</v>
      </c>
      <c r="C864" s="10" t="s">
        <v>50</v>
      </c>
      <c r="D864" s="1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tr">
        <f t="shared" si="1"/>
        <v>Middle Aged (31-54)</v>
      </c>
      <c r="N864" s="1" t="s">
        <v>17</v>
      </c>
    </row>
    <row r="865" ht="13.5" customHeight="1">
      <c r="A865" s="1">
        <v>18783.0</v>
      </c>
      <c r="B865" s="10" t="s">
        <v>51</v>
      </c>
      <c r="C865" s="10" t="s">
        <v>50</v>
      </c>
      <c r="D865" s="1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tr">
        <f t="shared" si="1"/>
        <v>Middle Aged (31-54)</v>
      </c>
      <c r="N865" s="1" t="s">
        <v>17</v>
      </c>
    </row>
    <row r="866" ht="13.5" customHeight="1">
      <c r="A866" s="1">
        <v>25041.0</v>
      </c>
      <c r="B866" s="10" t="s">
        <v>51</v>
      </c>
      <c r="C866" s="10" t="s">
        <v>50</v>
      </c>
      <c r="D866" s="1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tr">
        <f t="shared" si="1"/>
        <v>Middle Aged (31-54)</v>
      </c>
      <c r="N866" s="1" t="s">
        <v>20</v>
      </c>
    </row>
    <row r="867" ht="13.5" customHeight="1">
      <c r="A867" s="1">
        <v>22046.0</v>
      </c>
      <c r="B867" s="10" t="s">
        <v>51</v>
      </c>
      <c r="C867" s="10" t="s">
        <v>49</v>
      </c>
      <c r="D867" s="1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tr">
        <f t="shared" si="1"/>
        <v>Middle Aged (31-54)</v>
      </c>
      <c r="N867" s="1" t="s">
        <v>17</v>
      </c>
    </row>
    <row r="868" ht="13.5" customHeight="1">
      <c r="A868" s="1">
        <v>28052.0</v>
      </c>
      <c r="B868" s="10" t="s">
        <v>48</v>
      </c>
      <c r="C868" s="10" t="s">
        <v>50</v>
      </c>
      <c r="D868" s="1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0" t="s">
        <v>52</v>
      </c>
      <c r="K868" s="1" t="s">
        <v>35</v>
      </c>
      <c r="L868" s="1">
        <v>55.0</v>
      </c>
      <c r="M868" s="1" t="str">
        <f t="shared" si="1"/>
        <v>Old (54+)</v>
      </c>
      <c r="N868" s="1" t="s">
        <v>20</v>
      </c>
    </row>
    <row r="869" ht="13.5" customHeight="1">
      <c r="A869" s="1">
        <v>26693.0</v>
      </c>
      <c r="B869" s="10" t="s">
        <v>48</v>
      </c>
      <c r="C869" s="10" t="s">
        <v>50</v>
      </c>
      <c r="D869" s="1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tr">
        <f t="shared" si="1"/>
        <v>Middle Aged (31-54)</v>
      </c>
      <c r="N869" s="1" t="s">
        <v>20</v>
      </c>
    </row>
    <row r="870" ht="13.5" customHeight="1">
      <c r="A870" s="1">
        <v>24955.0</v>
      </c>
      <c r="B870" s="10" t="s">
        <v>51</v>
      </c>
      <c r="C870" s="10" t="s">
        <v>50</v>
      </c>
      <c r="D870" s="1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0" t="s">
        <v>52</v>
      </c>
      <c r="K870" s="1" t="s">
        <v>35</v>
      </c>
      <c r="L870" s="1">
        <v>60.0</v>
      </c>
      <c r="M870" s="1" t="str">
        <f t="shared" si="1"/>
        <v>Old (54+)</v>
      </c>
      <c r="N870" s="1" t="s">
        <v>17</v>
      </c>
    </row>
    <row r="871" ht="13.5" customHeight="1">
      <c r="A871" s="1">
        <v>26065.0</v>
      </c>
      <c r="B871" s="10" t="s">
        <v>51</v>
      </c>
      <c r="C871" s="10" t="s">
        <v>49</v>
      </c>
      <c r="D871" s="1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tr">
        <f t="shared" si="1"/>
        <v>Middle Aged (31-54)</v>
      </c>
      <c r="N871" s="1" t="s">
        <v>20</v>
      </c>
    </row>
    <row r="872" ht="13.5" customHeight="1">
      <c r="A872" s="1">
        <v>13942.0</v>
      </c>
      <c r="B872" s="10" t="s">
        <v>48</v>
      </c>
      <c r="C872" s="10" t="s">
        <v>50</v>
      </c>
      <c r="D872" s="1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tr">
        <f t="shared" si="1"/>
        <v>Middle Aged (31-54)</v>
      </c>
      <c r="N872" s="1" t="s">
        <v>20</v>
      </c>
    </row>
    <row r="873" ht="13.5" customHeight="1">
      <c r="A873" s="1">
        <v>11219.0</v>
      </c>
      <c r="B873" s="10" t="s">
        <v>48</v>
      </c>
      <c r="C873" s="10" t="s">
        <v>50</v>
      </c>
      <c r="D873" s="1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0" t="s">
        <v>52</v>
      </c>
      <c r="K873" s="1" t="s">
        <v>35</v>
      </c>
      <c r="L873" s="1">
        <v>55.0</v>
      </c>
      <c r="M873" s="1" t="str">
        <f t="shared" si="1"/>
        <v>Old (54+)</v>
      </c>
      <c r="N873" s="1" t="s">
        <v>20</v>
      </c>
    </row>
    <row r="874" ht="13.5" customHeight="1">
      <c r="A874" s="1">
        <v>22118.0</v>
      </c>
      <c r="B874" s="10" t="s">
        <v>51</v>
      </c>
      <c r="C874" s="10" t="s">
        <v>49</v>
      </c>
      <c r="D874" s="1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tr">
        <f t="shared" si="1"/>
        <v>Middle Aged (31-54)</v>
      </c>
      <c r="N874" s="1" t="s">
        <v>17</v>
      </c>
    </row>
    <row r="875" ht="13.5" customHeight="1">
      <c r="A875" s="1">
        <v>23197.0</v>
      </c>
      <c r="B875" s="10" t="s">
        <v>48</v>
      </c>
      <c r="C875" s="10" t="s">
        <v>50</v>
      </c>
      <c r="D875" s="1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tr">
        <f t="shared" si="1"/>
        <v>Middle Aged (31-54)</v>
      </c>
      <c r="N875" s="1" t="s">
        <v>20</v>
      </c>
    </row>
    <row r="876" ht="13.5" customHeight="1">
      <c r="A876" s="1">
        <v>14883.0</v>
      </c>
      <c r="B876" s="10" t="s">
        <v>48</v>
      </c>
      <c r="C876" s="10" t="s">
        <v>49</v>
      </c>
      <c r="D876" s="1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tr">
        <f t="shared" si="1"/>
        <v>Middle Aged (31-54)</v>
      </c>
      <c r="N876" s="1" t="s">
        <v>17</v>
      </c>
    </row>
    <row r="877" ht="13.5" customHeight="1">
      <c r="A877" s="1">
        <v>27279.0</v>
      </c>
      <c r="B877" s="10" t="s">
        <v>51</v>
      </c>
      <c r="C877" s="10" t="s">
        <v>49</v>
      </c>
      <c r="D877" s="1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tr">
        <f t="shared" si="1"/>
        <v>Middle Aged (31-54)</v>
      </c>
      <c r="N877" s="1" t="s">
        <v>17</v>
      </c>
    </row>
    <row r="878" ht="13.5" customHeight="1">
      <c r="A878" s="1">
        <v>18322.0</v>
      </c>
      <c r="B878" s="10" t="s">
        <v>51</v>
      </c>
      <c r="C878" s="10" t="s">
        <v>50</v>
      </c>
      <c r="D878" s="1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tr">
        <f t="shared" si="1"/>
        <v>Adolescent (0-30)</v>
      </c>
      <c r="N878" s="1" t="s">
        <v>20</v>
      </c>
    </row>
    <row r="879" ht="13.5" customHeight="1">
      <c r="A879" s="1">
        <v>15879.0</v>
      </c>
      <c r="B879" s="10" t="s">
        <v>48</v>
      </c>
      <c r="C879" s="10" t="s">
        <v>50</v>
      </c>
      <c r="D879" s="1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tr">
        <f t="shared" si="1"/>
        <v>Old (54+)</v>
      </c>
      <c r="N879" s="1" t="s">
        <v>20</v>
      </c>
    </row>
    <row r="880" ht="13.5" customHeight="1">
      <c r="A880" s="1">
        <v>28278.0</v>
      </c>
      <c r="B880" s="10" t="s">
        <v>48</v>
      </c>
      <c r="C880" s="10" t="s">
        <v>50</v>
      </c>
      <c r="D880" s="1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tr">
        <f t="shared" si="1"/>
        <v>Old (54+)</v>
      </c>
      <c r="N880" s="1" t="s">
        <v>20</v>
      </c>
    </row>
    <row r="881" ht="13.5" customHeight="1">
      <c r="A881" s="1">
        <v>24416.0</v>
      </c>
      <c r="B881" s="10" t="s">
        <v>48</v>
      </c>
      <c r="C881" s="10" t="s">
        <v>50</v>
      </c>
      <c r="D881" s="1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tr">
        <f t="shared" si="1"/>
        <v>Middle Aged (31-54)</v>
      </c>
      <c r="N881" s="1" t="s">
        <v>20</v>
      </c>
    </row>
    <row r="882" ht="13.5" customHeight="1">
      <c r="A882" s="1">
        <v>28066.0</v>
      </c>
      <c r="B882" s="10" t="s">
        <v>48</v>
      </c>
      <c r="C882" s="10" t="s">
        <v>50</v>
      </c>
      <c r="D882" s="1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tr">
        <f t="shared" si="1"/>
        <v>Middle Aged (31-54)</v>
      </c>
      <c r="N882" s="1" t="s">
        <v>17</v>
      </c>
    </row>
    <row r="883" ht="13.5" customHeight="1">
      <c r="A883" s="1">
        <v>11275.0</v>
      </c>
      <c r="B883" s="10" t="s">
        <v>48</v>
      </c>
      <c r="C883" s="10" t="s">
        <v>49</v>
      </c>
      <c r="D883" s="1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tr">
        <f t="shared" si="1"/>
        <v>Old (54+)</v>
      </c>
      <c r="N883" s="1" t="s">
        <v>17</v>
      </c>
    </row>
    <row r="884" ht="13.5" customHeight="1">
      <c r="A884" s="1">
        <v>14872.0</v>
      </c>
      <c r="B884" s="10" t="s">
        <v>48</v>
      </c>
      <c r="C884" s="10" t="s">
        <v>50</v>
      </c>
      <c r="D884" s="1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tr">
        <f t="shared" si="1"/>
        <v>Middle Aged (31-54)</v>
      </c>
      <c r="N884" s="1" t="s">
        <v>20</v>
      </c>
    </row>
    <row r="885" ht="13.5" customHeight="1">
      <c r="A885" s="1">
        <v>16151.0</v>
      </c>
      <c r="B885" s="10" t="s">
        <v>48</v>
      </c>
      <c r="C885" s="10" t="s">
        <v>49</v>
      </c>
      <c r="D885" s="1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tr">
        <f t="shared" si="1"/>
        <v>Middle Aged (31-54)</v>
      </c>
      <c r="N885" s="1" t="s">
        <v>17</v>
      </c>
    </row>
    <row r="886" ht="13.5" customHeight="1">
      <c r="A886" s="1">
        <v>19731.0</v>
      </c>
      <c r="B886" s="10" t="s">
        <v>48</v>
      </c>
      <c r="C886" s="10" t="s">
        <v>50</v>
      </c>
      <c r="D886" s="1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tr">
        <f t="shared" si="1"/>
        <v>Old (54+)</v>
      </c>
      <c r="N886" s="1" t="s">
        <v>20</v>
      </c>
    </row>
    <row r="887" ht="13.5" customHeight="1">
      <c r="A887" s="1">
        <v>23801.0</v>
      </c>
      <c r="B887" s="10" t="s">
        <v>48</v>
      </c>
      <c r="C887" s="10" t="s">
        <v>49</v>
      </c>
      <c r="D887" s="1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tr">
        <f t="shared" si="1"/>
        <v>Middle Aged (31-54)</v>
      </c>
      <c r="N887" s="1" t="s">
        <v>20</v>
      </c>
    </row>
    <row r="888" ht="13.5" customHeight="1">
      <c r="A888" s="1">
        <v>11807.0</v>
      </c>
      <c r="B888" s="10" t="s">
        <v>48</v>
      </c>
      <c r="C888" s="10" t="s">
        <v>50</v>
      </c>
      <c r="D888" s="1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tr">
        <f t="shared" si="1"/>
        <v>Middle Aged (31-54)</v>
      </c>
      <c r="N888" s="1" t="s">
        <v>20</v>
      </c>
    </row>
    <row r="889" ht="13.5" customHeight="1">
      <c r="A889" s="1">
        <v>11622.0</v>
      </c>
      <c r="B889" s="10" t="s">
        <v>48</v>
      </c>
      <c r="C889" s="10" t="s">
        <v>50</v>
      </c>
      <c r="D889" s="1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tr">
        <f t="shared" si="1"/>
        <v>Middle Aged (31-54)</v>
      </c>
      <c r="N889" s="1" t="s">
        <v>20</v>
      </c>
    </row>
    <row r="890" ht="13.5" customHeight="1">
      <c r="A890" s="1">
        <v>26597.0</v>
      </c>
      <c r="B890" s="10" t="s">
        <v>51</v>
      </c>
      <c r="C890" s="10" t="s">
        <v>49</v>
      </c>
      <c r="D890" s="1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tr">
        <f t="shared" si="1"/>
        <v>Middle Aged (31-54)</v>
      </c>
      <c r="N890" s="1" t="s">
        <v>20</v>
      </c>
    </row>
    <row r="891" ht="13.5" customHeight="1">
      <c r="A891" s="1">
        <v>27074.0</v>
      </c>
      <c r="B891" s="10" t="s">
        <v>48</v>
      </c>
      <c r="C891" s="10" t="s">
        <v>49</v>
      </c>
      <c r="D891" s="1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tr">
        <f t="shared" si="1"/>
        <v>Middle Aged (31-54)</v>
      </c>
      <c r="N891" s="1" t="s">
        <v>17</v>
      </c>
    </row>
    <row r="892" ht="13.5" customHeight="1">
      <c r="A892" s="1">
        <v>19228.0</v>
      </c>
      <c r="B892" s="10" t="s">
        <v>48</v>
      </c>
      <c r="C892" s="10" t="s">
        <v>49</v>
      </c>
      <c r="D892" s="1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tr">
        <f t="shared" si="1"/>
        <v>Middle Aged (31-54)</v>
      </c>
      <c r="N892" s="1" t="s">
        <v>20</v>
      </c>
    </row>
    <row r="893" ht="13.5" customHeight="1">
      <c r="A893" s="1">
        <v>13415.0</v>
      </c>
      <c r="B893" s="10" t="s">
        <v>51</v>
      </c>
      <c r="C893" s="10" t="s">
        <v>50</v>
      </c>
      <c r="D893" s="1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tr">
        <f t="shared" si="1"/>
        <v>Old (54+)</v>
      </c>
      <c r="N893" s="1" t="s">
        <v>17</v>
      </c>
    </row>
    <row r="894" ht="13.5" customHeight="1">
      <c r="A894" s="1">
        <v>17000.0</v>
      </c>
      <c r="B894" s="10" t="s">
        <v>51</v>
      </c>
      <c r="C894" s="10" t="s">
        <v>49</v>
      </c>
      <c r="D894" s="1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tr">
        <f t="shared" si="1"/>
        <v>Middle Aged (31-54)</v>
      </c>
      <c r="N894" s="1" t="s">
        <v>17</v>
      </c>
    </row>
    <row r="895" ht="13.5" customHeight="1">
      <c r="A895" s="1">
        <v>14569.0</v>
      </c>
      <c r="B895" s="10" t="s">
        <v>48</v>
      </c>
      <c r="C895" s="10" t="s">
        <v>50</v>
      </c>
      <c r="D895" s="1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tr">
        <f t="shared" si="1"/>
        <v>Middle Aged (31-54)</v>
      </c>
      <c r="N895" s="1" t="s">
        <v>20</v>
      </c>
    </row>
    <row r="896" ht="13.5" customHeight="1">
      <c r="A896" s="1">
        <v>13873.0</v>
      </c>
      <c r="B896" s="10" t="s">
        <v>48</v>
      </c>
      <c r="C896" s="10" t="s">
        <v>50</v>
      </c>
      <c r="D896" s="1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tr">
        <f t="shared" si="1"/>
        <v>Middle Aged (31-54)</v>
      </c>
      <c r="N896" s="1" t="s">
        <v>17</v>
      </c>
    </row>
    <row r="897" ht="13.5" customHeight="1">
      <c r="A897" s="1">
        <v>20401.0</v>
      </c>
      <c r="B897" s="10" t="s">
        <v>48</v>
      </c>
      <c r="C897" s="10" t="s">
        <v>49</v>
      </c>
      <c r="D897" s="1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tr">
        <f t="shared" si="1"/>
        <v>Old (54+)</v>
      </c>
      <c r="N897" s="1" t="s">
        <v>17</v>
      </c>
    </row>
    <row r="898" ht="13.5" customHeight="1">
      <c r="A898" s="1">
        <v>21583.0</v>
      </c>
      <c r="B898" s="10" t="s">
        <v>48</v>
      </c>
      <c r="C898" s="10" t="s">
        <v>49</v>
      </c>
      <c r="D898" s="1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tr">
        <f t="shared" si="1"/>
        <v>Middle Aged (31-54)</v>
      </c>
      <c r="N898" s="1" t="s">
        <v>17</v>
      </c>
    </row>
    <row r="899" ht="13.5" customHeight="1">
      <c r="A899" s="1">
        <v>12029.0</v>
      </c>
      <c r="B899" s="10" t="s">
        <v>48</v>
      </c>
      <c r="C899" s="10" t="s">
        <v>50</v>
      </c>
      <c r="D899" s="1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tr">
        <f t="shared" si="1"/>
        <v>Adolescent (0-30)</v>
      </c>
      <c r="N899" s="1" t="s">
        <v>20</v>
      </c>
    </row>
    <row r="900" ht="13.5" customHeight="1">
      <c r="A900" s="1">
        <v>18066.0</v>
      </c>
      <c r="B900" s="10" t="s">
        <v>51</v>
      </c>
      <c r="C900" s="10" t="s">
        <v>50</v>
      </c>
      <c r="D900" s="1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0" t="s">
        <v>52</v>
      </c>
      <c r="K900" s="1" t="s">
        <v>35</v>
      </c>
      <c r="L900" s="1">
        <v>60.0</v>
      </c>
      <c r="M900" s="1" t="str">
        <f t="shared" si="1"/>
        <v>Old (54+)</v>
      </c>
      <c r="N900" s="1" t="s">
        <v>17</v>
      </c>
    </row>
    <row r="901" ht="13.5" customHeight="1">
      <c r="A901" s="1">
        <v>28192.0</v>
      </c>
      <c r="B901" s="10" t="s">
        <v>48</v>
      </c>
      <c r="C901" s="10" t="s">
        <v>49</v>
      </c>
      <c r="D901" s="1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0" t="s">
        <v>52</v>
      </c>
      <c r="K901" s="1" t="s">
        <v>35</v>
      </c>
      <c r="L901" s="1">
        <v>46.0</v>
      </c>
      <c r="M901" s="1" t="str">
        <f t="shared" si="1"/>
        <v>Middle Aged (31-54)</v>
      </c>
      <c r="N901" s="1" t="s">
        <v>20</v>
      </c>
    </row>
    <row r="902" ht="13.5" customHeight="1">
      <c r="A902" s="1">
        <v>16122.0</v>
      </c>
      <c r="B902" s="10" t="s">
        <v>48</v>
      </c>
      <c r="C902" s="10" t="s">
        <v>50</v>
      </c>
      <c r="D902" s="1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tr">
        <f t="shared" si="1"/>
        <v>Middle Aged (31-54)</v>
      </c>
      <c r="N902" s="1" t="s">
        <v>17</v>
      </c>
    </row>
    <row r="903" ht="13.5" customHeight="1">
      <c r="A903" s="1">
        <v>18607.0</v>
      </c>
      <c r="B903" s="10" t="s">
        <v>51</v>
      </c>
      <c r="C903" s="10" t="s">
        <v>49</v>
      </c>
      <c r="D903" s="1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tr">
        <f t="shared" si="1"/>
        <v>Middle Aged (31-54)</v>
      </c>
      <c r="N903" s="1" t="s">
        <v>17</v>
      </c>
    </row>
    <row r="904" ht="13.5" customHeight="1">
      <c r="A904" s="1">
        <v>28858.0</v>
      </c>
      <c r="B904" s="10" t="s">
        <v>51</v>
      </c>
      <c r="C904" s="10" t="s">
        <v>50</v>
      </c>
      <c r="D904" s="1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tr">
        <f t="shared" si="1"/>
        <v>Middle Aged (31-54)</v>
      </c>
      <c r="N904" s="1" t="s">
        <v>20</v>
      </c>
    </row>
    <row r="905" ht="13.5" customHeight="1">
      <c r="A905" s="1">
        <v>14432.0</v>
      </c>
      <c r="B905" s="10" t="s">
        <v>51</v>
      </c>
      <c r="C905" s="10" t="s">
        <v>50</v>
      </c>
      <c r="D905" s="1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tr">
        <f t="shared" si="1"/>
        <v>Old (54+)</v>
      </c>
      <c r="N905" s="1" t="s">
        <v>20</v>
      </c>
    </row>
    <row r="906" ht="13.5" customHeight="1">
      <c r="A906" s="1">
        <v>26305.0</v>
      </c>
      <c r="B906" s="10" t="s">
        <v>51</v>
      </c>
      <c r="C906" s="10" t="s">
        <v>49</v>
      </c>
      <c r="D906" s="1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tr">
        <f t="shared" si="1"/>
        <v>Middle Aged (31-54)</v>
      </c>
      <c r="N906" s="1" t="s">
        <v>17</v>
      </c>
    </row>
    <row r="907" ht="13.5" customHeight="1">
      <c r="A907" s="1">
        <v>22050.0</v>
      </c>
      <c r="B907" s="10" t="s">
        <v>51</v>
      </c>
      <c r="C907" s="10" t="s">
        <v>50</v>
      </c>
      <c r="D907" s="1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tr">
        <f t="shared" si="1"/>
        <v>Middle Aged (31-54)</v>
      </c>
      <c r="N907" s="1" t="s">
        <v>17</v>
      </c>
    </row>
    <row r="908" ht="13.5" customHeight="1">
      <c r="A908" s="1">
        <v>25394.0</v>
      </c>
      <c r="B908" s="10" t="s">
        <v>48</v>
      </c>
      <c r="C908" s="10" t="s">
        <v>50</v>
      </c>
      <c r="D908" s="1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tr">
        <f t="shared" si="1"/>
        <v>Middle Aged (31-54)</v>
      </c>
      <c r="N908" s="1" t="s">
        <v>17</v>
      </c>
    </row>
    <row r="909" ht="13.5" customHeight="1">
      <c r="A909" s="1">
        <v>19747.0</v>
      </c>
      <c r="B909" s="10" t="s">
        <v>48</v>
      </c>
      <c r="C909" s="10" t="s">
        <v>50</v>
      </c>
      <c r="D909" s="1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0" t="s">
        <v>52</v>
      </c>
      <c r="K909" s="1" t="s">
        <v>35</v>
      </c>
      <c r="L909" s="1">
        <v>63.0</v>
      </c>
      <c r="M909" s="1" t="str">
        <f t="shared" si="1"/>
        <v>Old (54+)</v>
      </c>
      <c r="N909" s="1" t="s">
        <v>20</v>
      </c>
    </row>
    <row r="910" ht="13.5" customHeight="1">
      <c r="A910" s="1">
        <v>23195.0</v>
      </c>
      <c r="B910" s="10" t="s">
        <v>51</v>
      </c>
      <c r="C910" s="10" t="s">
        <v>50</v>
      </c>
      <c r="D910" s="1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tr">
        <f t="shared" si="1"/>
        <v>Middle Aged (31-54)</v>
      </c>
      <c r="N910" s="1" t="s">
        <v>17</v>
      </c>
    </row>
    <row r="911" ht="13.5" customHeight="1">
      <c r="A911" s="1">
        <v>21695.0</v>
      </c>
      <c r="B911" s="10" t="s">
        <v>48</v>
      </c>
      <c r="C911" s="10" t="s">
        <v>50</v>
      </c>
      <c r="D911" s="1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tr">
        <f t="shared" si="1"/>
        <v>Middle Aged (31-54)</v>
      </c>
      <c r="N911" s="1" t="s">
        <v>17</v>
      </c>
    </row>
    <row r="912" ht="13.5" customHeight="1">
      <c r="A912" s="1">
        <v>13934.0</v>
      </c>
      <c r="B912" s="10" t="s">
        <v>48</v>
      </c>
      <c r="C912" s="10" t="s">
        <v>50</v>
      </c>
      <c r="D912" s="1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tr">
        <f t="shared" si="1"/>
        <v>Middle Aged (31-54)</v>
      </c>
      <c r="N912" s="1" t="s">
        <v>20</v>
      </c>
    </row>
    <row r="913" ht="13.5" customHeight="1">
      <c r="A913" s="1">
        <v>13337.0</v>
      </c>
      <c r="B913" s="10" t="s">
        <v>48</v>
      </c>
      <c r="C913" s="10" t="s">
        <v>49</v>
      </c>
      <c r="D913" s="1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tr">
        <f t="shared" si="1"/>
        <v>Old (54+)</v>
      </c>
      <c r="N913" s="1" t="s">
        <v>20</v>
      </c>
    </row>
    <row r="914" ht="13.5" customHeight="1">
      <c r="A914" s="1">
        <v>27190.0</v>
      </c>
      <c r="B914" s="10" t="s">
        <v>48</v>
      </c>
      <c r="C914" s="10" t="s">
        <v>49</v>
      </c>
      <c r="D914" s="1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tr">
        <f t="shared" si="1"/>
        <v>Middle Aged (31-54)</v>
      </c>
      <c r="N914" s="1" t="s">
        <v>20</v>
      </c>
    </row>
    <row r="915" ht="13.5" customHeight="1">
      <c r="A915" s="1">
        <v>28657.0</v>
      </c>
      <c r="B915" s="10" t="s">
        <v>51</v>
      </c>
      <c r="C915" s="10" t="s">
        <v>50</v>
      </c>
      <c r="D915" s="1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tr">
        <f t="shared" si="1"/>
        <v>Middle Aged (31-54)</v>
      </c>
      <c r="N915" s="1" t="s">
        <v>17</v>
      </c>
    </row>
    <row r="916" ht="13.5" customHeight="1">
      <c r="A916" s="1">
        <v>21713.0</v>
      </c>
      <c r="B916" s="10" t="s">
        <v>51</v>
      </c>
      <c r="C916" s="10" t="s">
        <v>50</v>
      </c>
      <c r="D916" s="1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tr">
        <f t="shared" si="1"/>
        <v>Middle Aged (31-54)</v>
      </c>
      <c r="N916" s="1" t="s">
        <v>20</v>
      </c>
    </row>
    <row r="917" ht="13.5" customHeight="1">
      <c r="A917" s="1">
        <v>21752.0</v>
      </c>
      <c r="B917" s="10" t="s">
        <v>48</v>
      </c>
      <c r="C917" s="10" t="s">
        <v>50</v>
      </c>
      <c r="D917" s="1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0" t="s">
        <v>52</v>
      </c>
      <c r="K917" s="1" t="s">
        <v>35</v>
      </c>
      <c r="L917" s="1">
        <v>64.0</v>
      </c>
      <c r="M917" s="1" t="str">
        <f t="shared" si="1"/>
        <v>Old (54+)</v>
      </c>
      <c r="N917" s="1" t="s">
        <v>20</v>
      </c>
    </row>
    <row r="918" ht="13.5" customHeight="1">
      <c r="A918" s="1">
        <v>27273.0</v>
      </c>
      <c r="B918" s="10" t="s">
        <v>51</v>
      </c>
      <c r="C918" s="10" t="s">
        <v>50</v>
      </c>
      <c r="D918" s="1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tr">
        <f t="shared" si="1"/>
        <v>Middle Aged (31-54)</v>
      </c>
      <c r="N918" s="1" t="s">
        <v>17</v>
      </c>
    </row>
    <row r="919" ht="13.5" customHeight="1">
      <c r="A919" s="1">
        <v>22719.0</v>
      </c>
      <c r="B919" s="10" t="s">
        <v>51</v>
      </c>
      <c r="C919" s="10" t="s">
        <v>50</v>
      </c>
      <c r="D919" s="1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tr">
        <f t="shared" si="1"/>
        <v>Middle Aged (31-54)</v>
      </c>
      <c r="N919" s="1" t="s">
        <v>17</v>
      </c>
    </row>
    <row r="920" ht="13.5" customHeight="1">
      <c r="A920" s="1">
        <v>22042.0</v>
      </c>
      <c r="B920" s="10" t="s">
        <v>48</v>
      </c>
      <c r="C920" s="10" t="s">
        <v>49</v>
      </c>
      <c r="D920" s="1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tr">
        <f t="shared" si="1"/>
        <v>Middle Aged (31-54)</v>
      </c>
      <c r="N920" s="1" t="s">
        <v>17</v>
      </c>
    </row>
    <row r="921" ht="13.5" customHeight="1">
      <c r="A921" s="1">
        <v>21451.0</v>
      </c>
      <c r="B921" s="10" t="s">
        <v>48</v>
      </c>
      <c r="C921" s="10" t="s">
        <v>49</v>
      </c>
      <c r="D921" s="1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0" t="s">
        <v>52</v>
      </c>
      <c r="K921" s="1" t="s">
        <v>35</v>
      </c>
      <c r="L921" s="1">
        <v>61.0</v>
      </c>
      <c r="M921" s="1" t="str">
        <f t="shared" si="1"/>
        <v>Old (54+)</v>
      </c>
      <c r="N921" s="1" t="s">
        <v>20</v>
      </c>
    </row>
    <row r="922" ht="13.5" customHeight="1">
      <c r="A922" s="1">
        <v>20754.0</v>
      </c>
      <c r="B922" s="10" t="s">
        <v>48</v>
      </c>
      <c r="C922" s="10" t="s">
        <v>50</v>
      </c>
      <c r="D922" s="1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tr">
        <f t="shared" si="1"/>
        <v>Middle Aged (31-54)</v>
      </c>
      <c r="N922" s="1" t="s">
        <v>20</v>
      </c>
    </row>
    <row r="923" ht="13.5" customHeight="1">
      <c r="A923" s="1">
        <v>12153.0</v>
      </c>
      <c r="B923" s="10" t="s">
        <v>51</v>
      </c>
      <c r="C923" s="10" t="s">
        <v>49</v>
      </c>
      <c r="D923" s="1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tr">
        <f t="shared" si="1"/>
        <v>Middle Aged (31-54)</v>
      </c>
      <c r="N923" s="1" t="s">
        <v>17</v>
      </c>
    </row>
    <row r="924" ht="13.5" customHeight="1">
      <c r="A924" s="1">
        <v>16895.0</v>
      </c>
      <c r="B924" s="10" t="s">
        <v>48</v>
      </c>
      <c r="C924" s="10" t="s">
        <v>49</v>
      </c>
      <c r="D924" s="1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tr">
        <f t="shared" si="1"/>
        <v>Middle Aged (31-54)</v>
      </c>
      <c r="N924" s="1" t="s">
        <v>17</v>
      </c>
    </row>
    <row r="925" ht="13.5" customHeight="1">
      <c r="A925" s="1">
        <v>26728.0</v>
      </c>
      <c r="B925" s="10" t="s">
        <v>51</v>
      </c>
      <c r="C925" s="10" t="s">
        <v>50</v>
      </c>
      <c r="D925" s="1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tr">
        <f t="shared" si="1"/>
        <v>Middle Aged (31-54)</v>
      </c>
      <c r="N925" s="1" t="s">
        <v>17</v>
      </c>
    </row>
    <row r="926" ht="13.5" customHeight="1">
      <c r="A926" s="1">
        <v>11090.0</v>
      </c>
      <c r="B926" s="10" t="s">
        <v>51</v>
      </c>
      <c r="C926" s="10" t="s">
        <v>50</v>
      </c>
      <c r="D926" s="1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tr">
        <f t="shared" si="1"/>
        <v>Middle Aged (31-54)</v>
      </c>
      <c r="N926" s="1" t="s">
        <v>17</v>
      </c>
    </row>
    <row r="927" ht="13.5" customHeight="1">
      <c r="A927" s="1">
        <v>15862.0</v>
      </c>
      <c r="B927" s="10" t="s">
        <v>51</v>
      </c>
      <c r="C927" s="10" t="s">
        <v>49</v>
      </c>
      <c r="D927" s="1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tr">
        <f t="shared" si="1"/>
        <v>Middle Aged (31-54)</v>
      </c>
      <c r="N927" s="1" t="s">
        <v>17</v>
      </c>
    </row>
    <row r="928" ht="13.5" customHeight="1">
      <c r="A928" s="1">
        <v>26495.0</v>
      </c>
      <c r="B928" s="10" t="s">
        <v>51</v>
      </c>
      <c r="C928" s="10" t="s">
        <v>49</v>
      </c>
      <c r="D928" s="1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0" t="s">
        <v>52</v>
      </c>
      <c r="K928" s="1" t="s">
        <v>35</v>
      </c>
      <c r="L928" s="1">
        <v>57.0</v>
      </c>
      <c r="M928" s="1" t="str">
        <f t="shared" si="1"/>
        <v>Old (54+)</v>
      </c>
      <c r="N928" s="1" t="s">
        <v>20</v>
      </c>
    </row>
    <row r="929" ht="13.5" customHeight="1">
      <c r="A929" s="1">
        <v>11823.0</v>
      </c>
      <c r="B929" s="10" t="s">
        <v>48</v>
      </c>
      <c r="C929" s="10" t="s">
        <v>49</v>
      </c>
      <c r="D929" s="1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tr">
        <f t="shared" si="1"/>
        <v>Middle Aged (31-54)</v>
      </c>
      <c r="N929" s="1" t="s">
        <v>20</v>
      </c>
    </row>
    <row r="930" ht="13.5" customHeight="1">
      <c r="A930" s="1">
        <v>23449.0</v>
      </c>
      <c r="B930" s="10" t="s">
        <v>48</v>
      </c>
      <c r="C930" s="10" t="s">
        <v>50</v>
      </c>
      <c r="D930" s="1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tr">
        <f t="shared" si="1"/>
        <v>Middle Aged (31-54)</v>
      </c>
      <c r="N930" s="1" t="s">
        <v>20</v>
      </c>
    </row>
    <row r="931" ht="13.5" customHeight="1">
      <c r="A931" s="1">
        <v>23459.0</v>
      </c>
      <c r="B931" s="10" t="s">
        <v>48</v>
      </c>
      <c r="C931" s="10" t="s">
        <v>50</v>
      </c>
      <c r="D931" s="1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tr">
        <f t="shared" si="1"/>
        <v>Middle Aged (31-54)</v>
      </c>
      <c r="N931" s="1" t="s">
        <v>20</v>
      </c>
    </row>
    <row r="932" ht="13.5" customHeight="1">
      <c r="A932" s="1">
        <v>19543.0</v>
      </c>
      <c r="B932" s="10" t="s">
        <v>48</v>
      </c>
      <c r="C932" s="10" t="s">
        <v>50</v>
      </c>
      <c r="D932" s="1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0" t="s">
        <v>52</v>
      </c>
      <c r="K932" s="1" t="s">
        <v>35</v>
      </c>
      <c r="L932" s="1">
        <v>47.0</v>
      </c>
      <c r="M932" s="1" t="str">
        <f t="shared" si="1"/>
        <v>Middle Aged (31-54)</v>
      </c>
      <c r="N932" s="1" t="s">
        <v>20</v>
      </c>
    </row>
    <row r="933" ht="13.5" customHeight="1">
      <c r="A933" s="1">
        <v>14914.0</v>
      </c>
      <c r="B933" s="10" t="s">
        <v>48</v>
      </c>
      <c r="C933" s="10" t="s">
        <v>49</v>
      </c>
      <c r="D933" s="1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tr">
        <f t="shared" si="1"/>
        <v>Middle Aged (31-54)</v>
      </c>
      <c r="N933" s="1" t="s">
        <v>17</v>
      </c>
    </row>
    <row r="934" ht="13.5" customHeight="1">
      <c r="A934" s="1">
        <v>12033.0</v>
      </c>
      <c r="B934" s="10" t="s">
        <v>51</v>
      </c>
      <c r="C934" s="10" t="s">
        <v>49</v>
      </c>
      <c r="D934" s="1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tr">
        <f t="shared" si="1"/>
        <v>Adolescent (0-30)</v>
      </c>
      <c r="N934" s="1" t="s">
        <v>17</v>
      </c>
    </row>
    <row r="935" ht="13.5" customHeight="1">
      <c r="A935" s="1">
        <v>11941.0</v>
      </c>
      <c r="B935" s="10" t="s">
        <v>51</v>
      </c>
      <c r="C935" s="10" t="s">
        <v>50</v>
      </c>
      <c r="D935" s="1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tr">
        <f t="shared" si="1"/>
        <v>Adolescent (0-30)</v>
      </c>
      <c r="N935" s="1" t="s">
        <v>20</v>
      </c>
    </row>
    <row r="936" ht="13.5" customHeight="1">
      <c r="A936" s="1">
        <v>14389.0</v>
      </c>
      <c r="B936" s="10" t="s">
        <v>48</v>
      </c>
      <c r="C936" s="10" t="s">
        <v>50</v>
      </c>
      <c r="D936" s="1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tr">
        <f t="shared" si="1"/>
        <v>Old (54+)</v>
      </c>
      <c r="N936" s="1" t="s">
        <v>20</v>
      </c>
    </row>
    <row r="937" ht="13.5" customHeight="1">
      <c r="A937" s="1">
        <v>18050.0</v>
      </c>
      <c r="B937" s="10" t="s">
        <v>48</v>
      </c>
      <c r="C937" s="10" t="s">
        <v>49</v>
      </c>
      <c r="D937" s="1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tr">
        <f t="shared" si="1"/>
        <v>Middle Aged (31-54)</v>
      </c>
      <c r="N937" s="1" t="s">
        <v>17</v>
      </c>
    </row>
    <row r="938" ht="13.5" customHeight="1">
      <c r="A938" s="1">
        <v>19856.0</v>
      </c>
      <c r="B938" s="10" t="s">
        <v>48</v>
      </c>
      <c r="C938" s="10" t="s">
        <v>49</v>
      </c>
      <c r="D938" s="1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tr">
        <f t="shared" si="1"/>
        <v>Old (54+)</v>
      </c>
      <c r="N938" s="1" t="s">
        <v>20</v>
      </c>
    </row>
    <row r="939" ht="13.5" customHeight="1">
      <c r="A939" s="1">
        <v>11663.0</v>
      </c>
      <c r="B939" s="10" t="s">
        <v>48</v>
      </c>
      <c r="C939" s="10" t="s">
        <v>50</v>
      </c>
      <c r="D939" s="1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tr">
        <f t="shared" si="1"/>
        <v>Middle Aged (31-54)</v>
      </c>
      <c r="N939" s="1" t="s">
        <v>17</v>
      </c>
    </row>
    <row r="940" ht="13.5" customHeight="1">
      <c r="A940" s="1">
        <v>27740.0</v>
      </c>
      <c r="B940" s="10" t="s">
        <v>48</v>
      </c>
      <c r="C940" s="10" t="s">
        <v>49</v>
      </c>
      <c r="D940" s="1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tr">
        <f t="shared" si="1"/>
        <v>Adolescent (0-30)</v>
      </c>
      <c r="N940" s="1" t="s">
        <v>20</v>
      </c>
    </row>
    <row r="941" ht="13.5" customHeight="1">
      <c r="A941" s="1">
        <v>23455.0</v>
      </c>
      <c r="B941" s="10" t="s">
        <v>51</v>
      </c>
      <c r="C941" s="10" t="s">
        <v>50</v>
      </c>
      <c r="D941" s="1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tr">
        <f t="shared" si="1"/>
        <v>Middle Aged (31-54)</v>
      </c>
      <c r="N941" s="1" t="s">
        <v>20</v>
      </c>
    </row>
    <row r="942" ht="13.5" customHeight="1">
      <c r="A942" s="1">
        <v>15292.0</v>
      </c>
      <c r="B942" s="10" t="s">
        <v>51</v>
      </c>
      <c r="C942" s="10" t="s">
        <v>49</v>
      </c>
      <c r="D942" s="1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tr">
        <f t="shared" si="1"/>
        <v>Middle Aged (31-54)</v>
      </c>
      <c r="N942" s="1" t="s">
        <v>20</v>
      </c>
    </row>
    <row r="943" ht="13.5" customHeight="1">
      <c r="A943" s="1">
        <v>21587.0</v>
      </c>
      <c r="B943" s="10" t="s">
        <v>48</v>
      </c>
      <c r="C943" s="10" t="s">
        <v>49</v>
      </c>
      <c r="D943" s="1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tr">
        <f t="shared" si="1"/>
        <v>Middle Aged (31-54)</v>
      </c>
      <c r="N943" s="1" t="s">
        <v>17</v>
      </c>
    </row>
    <row r="944" ht="13.5" customHeight="1">
      <c r="A944" s="1">
        <v>23513.0</v>
      </c>
      <c r="B944" s="10" t="s">
        <v>48</v>
      </c>
      <c r="C944" s="10" t="s">
        <v>49</v>
      </c>
      <c r="D944" s="1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tr">
        <f t="shared" si="1"/>
        <v>Middle Aged (31-54)</v>
      </c>
      <c r="N944" s="1" t="s">
        <v>20</v>
      </c>
    </row>
    <row r="945" ht="13.5" customHeight="1">
      <c r="A945" s="1">
        <v>24322.0</v>
      </c>
      <c r="B945" s="10" t="s">
        <v>48</v>
      </c>
      <c r="C945" s="10" t="s">
        <v>49</v>
      </c>
      <c r="D945" s="1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tr">
        <f t="shared" si="1"/>
        <v>Middle Aged (31-54)</v>
      </c>
      <c r="N945" s="1" t="s">
        <v>20</v>
      </c>
    </row>
    <row r="946" ht="13.5" customHeight="1">
      <c r="A946" s="1">
        <v>26298.0</v>
      </c>
      <c r="B946" s="10" t="s">
        <v>48</v>
      </c>
      <c r="C946" s="10" t="s">
        <v>49</v>
      </c>
      <c r="D946" s="1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tr">
        <f t="shared" si="1"/>
        <v>Middle Aged (31-54)</v>
      </c>
      <c r="N946" s="1" t="s">
        <v>17</v>
      </c>
    </row>
    <row r="947" ht="13.5" customHeight="1">
      <c r="A947" s="1">
        <v>25419.0</v>
      </c>
      <c r="B947" s="10" t="s">
        <v>51</v>
      </c>
      <c r="C947" s="10" t="s">
        <v>50</v>
      </c>
      <c r="D947" s="1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tr">
        <f t="shared" si="1"/>
        <v>Middle Aged (31-54)</v>
      </c>
      <c r="N947" s="1" t="s">
        <v>17</v>
      </c>
    </row>
    <row r="948" ht="13.5" customHeight="1">
      <c r="A948" s="1">
        <v>13343.0</v>
      </c>
      <c r="B948" s="10" t="s">
        <v>48</v>
      </c>
      <c r="C948" s="10" t="s">
        <v>49</v>
      </c>
      <c r="D948" s="1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tr">
        <f t="shared" si="1"/>
        <v>Old (54+)</v>
      </c>
      <c r="N948" s="1" t="s">
        <v>17</v>
      </c>
    </row>
    <row r="949" ht="13.5" customHeight="1">
      <c r="A949" s="1">
        <v>11303.0</v>
      </c>
      <c r="B949" s="10" t="s">
        <v>51</v>
      </c>
      <c r="C949" s="10" t="s">
        <v>49</v>
      </c>
      <c r="D949" s="1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tr">
        <f t="shared" si="1"/>
        <v>Middle Aged (31-54)</v>
      </c>
      <c r="N949" s="1" t="s">
        <v>17</v>
      </c>
    </row>
    <row r="950" ht="13.5" customHeight="1">
      <c r="A950" s="1">
        <v>21693.0</v>
      </c>
      <c r="B950" s="10" t="s">
        <v>51</v>
      </c>
      <c r="C950" s="10" t="s">
        <v>49</v>
      </c>
      <c r="D950" s="1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tr">
        <f t="shared" si="1"/>
        <v>Middle Aged (31-54)</v>
      </c>
      <c r="N950" s="1" t="s">
        <v>20</v>
      </c>
    </row>
    <row r="951" ht="13.5" customHeight="1">
      <c r="A951" s="1">
        <v>28056.0</v>
      </c>
      <c r="B951" s="10" t="s">
        <v>48</v>
      </c>
      <c r="C951" s="10" t="s">
        <v>50</v>
      </c>
      <c r="D951" s="1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0" t="s">
        <v>52</v>
      </c>
      <c r="K951" s="1" t="s">
        <v>35</v>
      </c>
      <c r="L951" s="1">
        <v>53.0</v>
      </c>
      <c r="M951" s="1" t="str">
        <f t="shared" si="1"/>
        <v>Middle Aged (31-54)</v>
      </c>
      <c r="N951" s="1" t="s">
        <v>20</v>
      </c>
    </row>
    <row r="952" ht="13.5" customHeight="1">
      <c r="A952" s="1">
        <v>11788.0</v>
      </c>
      <c r="B952" s="10" t="s">
        <v>51</v>
      </c>
      <c r="C952" s="10" t="s">
        <v>49</v>
      </c>
      <c r="D952" s="1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tr">
        <f t="shared" si="1"/>
        <v>Middle Aged (31-54)</v>
      </c>
      <c r="N952" s="1" t="s">
        <v>20</v>
      </c>
    </row>
    <row r="953" ht="13.5" customHeight="1">
      <c r="A953" s="1">
        <v>22296.0</v>
      </c>
      <c r="B953" s="10" t="s">
        <v>48</v>
      </c>
      <c r="C953" s="10" t="s">
        <v>50</v>
      </c>
      <c r="D953" s="1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tr">
        <f t="shared" si="1"/>
        <v>Middle Aged (31-54)</v>
      </c>
      <c r="N953" s="1" t="s">
        <v>20</v>
      </c>
    </row>
    <row r="954" ht="13.5" customHeight="1">
      <c r="A954" s="1">
        <v>15319.0</v>
      </c>
      <c r="B954" s="10" t="s">
        <v>48</v>
      </c>
      <c r="C954" s="10" t="s">
        <v>49</v>
      </c>
      <c r="D954" s="1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tr">
        <f t="shared" si="1"/>
        <v>Old (54+)</v>
      </c>
      <c r="N954" s="1" t="s">
        <v>20</v>
      </c>
    </row>
    <row r="955" ht="13.5" customHeight="1">
      <c r="A955" s="1">
        <v>17654.0</v>
      </c>
      <c r="B955" s="10" t="s">
        <v>51</v>
      </c>
      <c r="C955" s="10" t="s">
        <v>49</v>
      </c>
      <c r="D955" s="1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tr">
        <f t="shared" si="1"/>
        <v>Adolescent (0-30)</v>
      </c>
      <c r="N955" s="1" t="s">
        <v>17</v>
      </c>
    </row>
    <row r="956" ht="13.5" customHeight="1">
      <c r="A956" s="1">
        <v>14662.0</v>
      </c>
      <c r="B956" s="10" t="s">
        <v>48</v>
      </c>
      <c r="C956" s="10" t="s">
        <v>50</v>
      </c>
      <c r="D956" s="1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tr">
        <f t="shared" si="1"/>
        <v>Middle Aged (31-54)</v>
      </c>
      <c r="N956" s="1" t="s">
        <v>17</v>
      </c>
    </row>
    <row r="957" ht="13.5" customHeight="1">
      <c r="A957" s="1">
        <v>17541.0</v>
      </c>
      <c r="B957" s="10" t="s">
        <v>48</v>
      </c>
      <c r="C957" s="10" t="s">
        <v>49</v>
      </c>
      <c r="D957" s="1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tr">
        <f t="shared" si="1"/>
        <v>Middle Aged (31-54)</v>
      </c>
      <c r="N957" s="1" t="s">
        <v>20</v>
      </c>
    </row>
    <row r="958" ht="13.5" customHeight="1">
      <c r="A958" s="1">
        <v>13886.0</v>
      </c>
      <c r="B958" s="10" t="s">
        <v>48</v>
      </c>
      <c r="C958" s="10" t="s">
        <v>49</v>
      </c>
      <c r="D958" s="1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tr">
        <f t="shared" si="1"/>
        <v>Middle Aged (31-54)</v>
      </c>
      <c r="N958" s="1" t="s">
        <v>17</v>
      </c>
    </row>
    <row r="959" ht="13.5" customHeight="1">
      <c r="A959" s="1">
        <v>13073.0</v>
      </c>
      <c r="B959" s="10" t="s">
        <v>48</v>
      </c>
      <c r="C959" s="10" t="s">
        <v>49</v>
      </c>
      <c r="D959" s="1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tr">
        <f t="shared" si="1"/>
        <v>Adolescent (0-30)</v>
      </c>
      <c r="N959" s="1" t="s">
        <v>20</v>
      </c>
    </row>
    <row r="960" ht="13.5" customHeight="1">
      <c r="A960" s="1">
        <v>21940.0</v>
      </c>
      <c r="B960" s="10" t="s">
        <v>48</v>
      </c>
      <c r="C960" s="10" t="s">
        <v>50</v>
      </c>
      <c r="D960" s="1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tr">
        <f t="shared" si="1"/>
        <v>Middle Aged (31-54)</v>
      </c>
      <c r="N960" s="1" t="s">
        <v>17</v>
      </c>
    </row>
    <row r="961" ht="13.5" customHeight="1">
      <c r="A961" s="1">
        <v>20196.0</v>
      </c>
      <c r="B961" s="10" t="s">
        <v>48</v>
      </c>
      <c r="C961" s="10" t="s">
        <v>50</v>
      </c>
      <c r="D961" s="1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tr">
        <f t="shared" si="1"/>
        <v>Middle Aged (31-54)</v>
      </c>
      <c r="N961" s="1" t="s">
        <v>17</v>
      </c>
    </row>
    <row r="962" ht="13.5" customHeight="1">
      <c r="A962" s="1">
        <v>23491.0</v>
      </c>
      <c r="B962" s="10" t="s">
        <v>51</v>
      </c>
      <c r="C962" s="10" t="s">
        <v>50</v>
      </c>
      <c r="D962" s="1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tr">
        <f t="shared" si="1"/>
        <v>Middle Aged (31-54)</v>
      </c>
      <c r="N962" s="1" t="s">
        <v>20</v>
      </c>
    </row>
    <row r="963" ht="13.5" customHeight="1">
      <c r="A963" s="1">
        <v>16651.0</v>
      </c>
      <c r="B963" s="10" t="s">
        <v>48</v>
      </c>
      <c r="C963" s="10" t="s">
        <v>49</v>
      </c>
      <c r="D963" s="1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tr">
        <f t="shared" si="1"/>
        <v>Old (54+)</v>
      </c>
      <c r="N963" s="1" t="s">
        <v>20</v>
      </c>
    </row>
    <row r="964" ht="13.5" customHeight="1">
      <c r="A964" s="1">
        <v>16813.0</v>
      </c>
      <c r="B964" s="10" t="s">
        <v>48</v>
      </c>
      <c r="C964" s="10" t="s">
        <v>50</v>
      </c>
      <c r="D964" s="1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0" t="s">
        <v>52</v>
      </c>
      <c r="K964" s="1" t="s">
        <v>35</v>
      </c>
      <c r="L964" s="1">
        <v>55.0</v>
      </c>
      <c r="M964" s="1" t="str">
        <f t="shared" si="1"/>
        <v>Old (54+)</v>
      </c>
      <c r="N964" s="1" t="s">
        <v>20</v>
      </c>
    </row>
    <row r="965" ht="13.5" customHeight="1">
      <c r="A965" s="1">
        <v>16007.0</v>
      </c>
      <c r="B965" s="10" t="s">
        <v>48</v>
      </c>
      <c r="C965" s="10" t="s">
        <v>49</v>
      </c>
      <c r="D965" s="1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tr">
        <f t="shared" si="1"/>
        <v>Old (54+)</v>
      </c>
      <c r="N965" s="1" t="s">
        <v>17</v>
      </c>
    </row>
    <row r="966" ht="13.5" customHeight="1">
      <c r="A966" s="1">
        <v>27434.0</v>
      </c>
      <c r="B966" s="10" t="s">
        <v>51</v>
      </c>
      <c r="C966" s="10" t="s">
        <v>50</v>
      </c>
      <c r="D966" s="1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0" t="s">
        <v>52</v>
      </c>
      <c r="K966" s="1" t="s">
        <v>35</v>
      </c>
      <c r="L966" s="1">
        <v>56.0</v>
      </c>
      <c r="M966" s="1" t="str">
        <f t="shared" si="1"/>
        <v>Old (54+)</v>
      </c>
      <c r="N966" s="1" t="s">
        <v>20</v>
      </c>
    </row>
    <row r="967" ht="13.5" customHeight="1">
      <c r="A967" s="1">
        <v>27756.0</v>
      </c>
      <c r="B967" s="10" t="s">
        <v>51</v>
      </c>
      <c r="C967" s="10" t="s">
        <v>49</v>
      </c>
      <c r="D967" s="1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tr">
        <f t="shared" si="1"/>
        <v>Middle Aged (31-54)</v>
      </c>
      <c r="N967" s="1" t="s">
        <v>20</v>
      </c>
    </row>
    <row r="968" ht="13.5" customHeight="1">
      <c r="A968" s="1">
        <v>23818.0</v>
      </c>
      <c r="B968" s="10" t="s">
        <v>48</v>
      </c>
      <c r="C968" s="10" t="s">
        <v>49</v>
      </c>
      <c r="D968" s="1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tr">
        <f t="shared" si="1"/>
        <v>Middle Aged (31-54)</v>
      </c>
      <c r="N968" s="1" t="s">
        <v>17</v>
      </c>
    </row>
    <row r="969" ht="13.5" customHeight="1">
      <c r="A969" s="1">
        <v>19012.0</v>
      </c>
      <c r="B969" s="10" t="s">
        <v>48</v>
      </c>
      <c r="C969" s="10" t="s">
        <v>50</v>
      </c>
      <c r="D969" s="1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tr">
        <f t="shared" si="1"/>
        <v>Old (54+)</v>
      </c>
      <c r="N969" s="1" t="s">
        <v>20</v>
      </c>
    </row>
    <row r="970" ht="13.5" customHeight="1">
      <c r="A970" s="1">
        <v>18329.0</v>
      </c>
      <c r="B970" s="10" t="s">
        <v>51</v>
      </c>
      <c r="C970" s="10" t="s">
        <v>50</v>
      </c>
      <c r="D970" s="1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tr">
        <f t="shared" si="1"/>
        <v>Adolescent (0-30)</v>
      </c>
      <c r="N970" s="1" t="s">
        <v>20</v>
      </c>
    </row>
    <row r="971" ht="13.5" customHeight="1">
      <c r="A971" s="1">
        <v>29037.0</v>
      </c>
      <c r="B971" s="10" t="s">
        <v>48</v>
      </c>
      <c r="C971" s="10" t="s">
        <v>50</v>
      </c>
      <c r="D971" s="1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tr">
        <f t="shared" si="1"/>
        <v>Middle Aged (31-54)</v>
      </c>
      <c r="N971" s="1" t="s">
        <v>20</v>
      </c>
    </row>
    <row r="972" ht="13.5" customHeight="1">
      <c r="A972" s="1">
        <v>26576.0</v>
      </c>
      <c r="B972" s="10" t="s">
        <v>48</v>
      </c>
      <c r="C972" s="10" t="s">
        <v>49</v>
      </c>
      <c r="D972" s="1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tr">
        <f t="shared" si="1"/>
        <v>Middle Aged (31-54)</v>
      </c>
      <c r="N972" s="1" t="s">
        <v>20</v>
      </c>
    </row>
    <row r="973" ht="13.5" customHeight="1">
      <c r="A973" s="1">
        <v>12192.0</v>
      </c>
      <c r="B973" s="10" t="s">
        <v>51</v>
      </c>
      <c r="C973" s="10" t="s">
        <v>49</v>
      </c>
      <c r="D973" s="1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tr">
        <f t="shared" si="1"/>
        <v>Middle Aged (31-54)</v>
      </c>
      <c r="N973" s="1" t="s">
        <v>20</v>
      </c>
    </row>
    <row r="974" ht="13.5" customHeight="1">
      <c r="A974" s="1">
        <v>14887.0</v>
      </c>
      <c r="B974" s="10" t="s">
        <v>48</v>
      </c>
      <c r="C974" s="10" t="s">
        <v>49</v>
      </c>
      <c r="D974" s="1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tr">
        <f t="shared" si="1"/>
        <v>Middle Aged (31-54)</v>
      </c>
      <c r="N974" s="1" t="s">
        <v>20</v>
      </c>
    </row>
    <row r="975" ht="13.5" customHeight="1">
      <c r="A975" s="1">
        <v>11734.0</v>
      </c>
      <c r="B975" s="10" t="s">
        <v>48</v>
      </c>
      <c r="C975" s="10" t="s">
        <v>50</v>
      </c>
      <c r="D975" s="1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tr">
        <f t="shared" si="1"/>
        <v>Middle Aged (31-54)</v>
      </c>
      <c r="N975" s="1" t="s">
        <v>20</v>
      </c>
    </row>
    <row r="976" ht="13.5" customHeight="1">
      <c r="A976" s="1">
        <v>17462.0</v>
      </c>
      <c r="B976" s="10" t="s">
        <v>48</v>
      </c>
      <c r="C976" s="10" t="s">
        <v>50</v>
      </c>
      <c r="D976" s="1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tr">
        <f t="shared" si="1"/>
        <v>Middle Aged (31-54)</v>
      </c>
      <c r="N976" s="1" t="s">
        <v>17</v>
      </c>
    </row>
    <row r="977" ht="13.5" customHeight="1">
      <c r="A977" s="1">
        <v>20659.0</v>
      </c>
      <c r="B977" s="10" t="s">
        <v>48</v>
      </c>
      <c r="C977" s="10" t="s">
        <v>50</v>
      </c>
      <c r="D977" s="1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tr">
        <f t="shared" si="1"/>
        <v>Middle Aged (31-54)</v>
      </c>
      <c r="N977" s="1" t="s">
        <v>17</v>
      </c>
    </row>
    <row r="978" ht="13.5" customHeight="1">
      <c r="A978" s="1">
        <v>28004.0</v>
      </c>
      <c r="B978" s="10" t="s">
        <v>48</v>
      </c>
      <c r="C978" s="10" t="s">
        <v>49</v>
      </c>
      <c r="D978" s="1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0" t="s">
        <v>52</v>
      </c>
      <c r="K978" s="1" t="s">
        <v>35</v>
      </c>
      <c r="L978" s="1">
        <v>66.0</v>
      </c>
      <c r="M978" s="1" t="str">
        <f t="shared" si="1"/>
        <v>Old (54+)</v>
      </c>
      <c r="N978" s="1" t="s">
        <v>20</v>
      </c>
    </row>
    <row r="979" ht="13.5" customHeight="1">
      <c r="A979" s="1">
        <v>19741.0</v>
      </c>
      <c r="B979" s="10" t="s">
        <v>51</v>
      </c>
      <c r="C979" s="10" t="s">
        <v>49</v>
      </c>
      <c r="D979" s="1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tr">
        <f t="shared" si="1"/>
        <v>Old (54+)</v>
      </c>
      <c r="N979" s="1" t="s">
        <v>20</v>
      </c>
    </row>
    <row r="980" ht="13.5" customHeight="1">
      <c r="A980" s="1">
        <v>17450.0</v>
      </c>
      <c r="B980" s="10" t="s">
        <v>48</v>
      </c>
      <c r="C980" s="10" t="s">
        <v>50</v>
      </c>
      <c r="D980" s="1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tr">
        <f t="shared" si="1"/>
        <v>Middle Aged (31-54)</v>
      </c>
      <c r="N980" s="1" t="s">
        <v>20</v>
      </c>
    </row>
    <row r="981" ht="13.5" customHeight="1">
      <c r="A981" s="1">
        <v>17337.0</v>
      </c>
      <c r="B981" s="10" t="s">
        <v>51</v>
      </c>
      <c r="C981" s="10" t="s">
        <v>50</v>
      </c>
      <c r="D981" s="1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tr">
        <f t="shared" si="1"/>
        <v>Middle Aged (31-54)</v>
      </c>
      <c r="N981" s="1" t="s">
        <v>20</v>
      </c>
    </row>
    <row r="982" ht="13.5" customHeight="1">
      <c r="A982" s="1">
        <v>18594.0</v>
      </c>
      <c r="B982" s="10" t="s">
        <v>51</v>
      </c>
      <c r="C982" s="10" t="s">
        <v>49</v>
      </c>
      <c r="D982" s="1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0" t="s">
        <v>52</v>
      </c>
      <c r="K982" s="1" t="s">
        <v>35</v>
      </c>
      <c r="L982" s="1">
        <v>40.0</v>
      </c>
      <c r="M982" s="1" t="str">
        <f t="shared" si="1"/>
        <v>Middle Aged (31-54)</v>
      </c>
      <c r="N982" s="1" t="s">
        <v>17</v>
      </c>
    </row>
    <row r="983" ht="13.5" customHeight="1">
      <c r="A983" s="1">
        <v>15982.0</v>
      </c>
      <c r="B983" s="10" t="s">
        <v>48</v>
      </c>
      <c r="C983" s="10" t="s">
        <v>50</v>
      </c>
      <c r="D983" s="1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tr">
        <f t="shared" si="1"/>
        <v>Middle Aged (31-54)</v>
      </c>
      <c r="N983" s="1" t="s">
        <v>20</v>
      </c>
    </row>
    <row r="984" ht="13.5" customHeight="1">
      <c r="A984" s="1">
        <v>28625.0</v>
      </c>
      <c r="B984" s="10" t="s">
        <v>51</v>
      </c>
      <c r="C984" s="10" t="s">
        <v>50</v>
      </c>
      <c r="D984" s="1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tr">
        <f t="shared" si="1"/>
        <v>Middle Aged (31-54)</v>
      </c>
      <c r="N984" s="1" t="s">
        <v>17</v>
      </c>
    </row>
    <row r="985" ht="13.5" customHeight="1">
      <c r="A985" s="1">
        <v>11269.0</v>
      </c>
      <c r="B985" s="10" t="s">
        <v>48</v>
      </c>
      <c r="C985" s="10" t="s">
        <v>50</v>
      </c>
      <c r="D985" s="1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tr">
        <f t="shared" si="1"/>
        <v>Middle Aged (31-54)</v>
      </c>
      <c r="N985" s="1" t="s">
        <v>20</v>
      </c>
    </row>
    <row r="986" ht="13.5" customHeight="1">
      <c r="A986" s="1">
        <v>25148.0</v>
      </c>
      <c r="B986" s="10" t="s">
        <v>48</v>
      </c>
      <c r="C986" s="10" t="s">
        <v>50</v>
      </c>
      <c r="D986" s="1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tr">
        <f t="shared" si="1"/>
        <v>Middle Aged (31-54)</v>
      </c>
      <c r="N986" s="1" t="s">
        <v>17</v>
      </c>
    </row>
    <row r="987" ht="13.5" customHeight="1">
      <c r="A987" s="1">
        <v>13920.0</v>
      </c>
      <c r="B987" s="10" t="s">
        <v>51</v>
      </c>
      <c r="C987" s="10" t="s">
        <v>49</v>
      </c>
      <c r="D987" s="1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tr">
        <f t="shared" si="1"/>
        <v>Middle Aged (31-54)</v>
      </c>
      <c r="N987" s="1" t="s">
        <v>20</v>
      </c>
    </row>
    <row r="988" ht="13.5" customHeight="1">
      <c r="A988" s="1">
        <v>23704.0</v>
      </c>
      <c r="B988" s="10" t="s">
        <v>51</v>
      </c>
      <c r="C988" s="10" t="s">
        <v>50</v>
      </c>
      <c r="D988" s="1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0" t="s">
        <v>52</v>
      </c>
      <c r="K988" s="1" t="s">
        <v>35</v>
      </c>
      <c r="L988" s="1">
        <v>60.0</v>
      </c>
      <c r="M988" s="1" t="str">
        <f t="shared" si="1"/>
        <v>Old (54+)</v>
      </c>
      <c r="N988" s="1" t="s">
        <v>17</v>
      </c>
    </row>
    <row r="989" ht="13.5" customHeight="1">
      <c r="A989" s="1">
        <v>28972.0</v>
      </c>
      <c r="B989" s="10" t="s">
        <v>51</v>
      </c>
      <c r="C989" s="10" t="s">
        <v>49</v>
      </c>
      <c r="D989" s="1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0" t="s">
        <v>52</v>
      </c>
      <c r="K989" s="1" t="s">
        <v>35</v>
      </c>
      <c r="L989" s="1">
        <v>66.0</v>
      </c>
      <c r="M989" s="1" t="str">
        <f t="shared" si="1"/>
        <v>Old (54+)</v>
      </c>
      <c r="N989" s="1" t="s">
        <v>20</v>
      </c>
    </row>
    <row r="990" ht="13.5" customHeight="1">
      <c r="A990" s="1">
        <v>22730.0</v>
      </c>
      <c r="B990" s="10" t="s">
        <v>48</v>
      </c>
      <c r="C990" s="10" t="s">
        <v>50</v>
      </c>
      <c r="D990" s="1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0" t="s">
        <v>52</v>
      </c>
      <c r="K990" s="1" t="s">
        <v>35</v>
      </c>
      <c r="L990" s="1">
        <v>63.0</v>
      </c>
      <c r="M990" s="1" t="str">
        <f t="shared" si="1"/>
        <v>Old (54+)</v>
      </c>
      <c r="N990" s="1" t="s">
        <v>20</v>
      </c>
    </row>
    <row r="991" ht="13.5" customHeight="1">
      <c r="A991" s="1">
        <v>29134.0</v>
      </c>
      <c r="B991" s="10" t="s">
        <v>48</v>
      </c>
      <c r="C991" s="10" t="s">
        <v>50</v>
      </c>
      <c r="D991" s="1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0" t="s">
        <v>52</v>
      </c>
      <c r="K991" s="1" t="s">
        <v>35</v>
      </c>
      <c r="L991" s="1">
        <v>42.0</v>
      </c>
      <c r="M991" s="1" t="str">
        <f t="shared" si="1"/>
        <v>Middle Aged (31-54)</v>
      </c>
      <c r="N991" s="1" t="s">
        <v>20</v>
      </c>
    </row>
    <row r="992" ht="13.5" customHeight="1">
      <c r="A992" s="1">
        <v>14332.0</v>
      </c>
      <c r="B992" s="10" t="s">
        <v>51</v>
      </c>
      <c r="C992" s="10" t="s">
        <v>49</v>
      </c>
      <c r="D992" s="1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tr">
        <f t="shared" si="1"/>
        <v>Adolescent (0-30)</v>
      </c>
      <c r="N992" s="1" t="s">
        <v>20</v>
      </c>
    </row>
    <row r="993" ht="13.5" customHeight="1">
      <c r="A993" s="1">
        <v>19117.0</v>
      </c>
      <c r="B993" s="10" t="s">
        <v>51</v>
      </c>
      <c r="C993" s="10" t="s">
        <v>49</v>
      </c>
      <c r="D993" s="1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tr">
        <f t="shared" si="1"/>
        <v>Middle Aged (31-54)</v>
      </c>
      <c r="N993" s="1" t="s">
        <v>17</v>
      </c>
    </row>
    <row r="994" ht="13.5" customHeight="1">
      <c r="A994" s="1">
        <v>22864.0</v>
      </c>
      <c r="B994" s="10" t="s">
        <v>48</v>
      </c>
      <c r="C994" s="10" t="s">
        <v>50</v>
      </c>
      <c r="D994" s="1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tr">
        <f t="shared" si="1"/>
        <v>Middle Aged (31-54)</v>
      </c>
      <c r="N994" s="1" t="s">
        <v>17</v>
      </c>
    </row>
    <row r="995" ht="13.5" customHeight="1">
      <c r="A995" s="1">
        <v>11292.0</v>
      </c>
      <c r="B995" s="10" t="s">
        <v>51</v>
      </c>
      <c r="C995" s="10" t="s">
        <v>50</v>
      </c>
      <c r="D995" s="1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tr">
        <f t="shared" si="1"/>
        <v>Middle Aged (31-54)</v>
      </c>
      <c r="N995" s="1" t="s">
        <v>17</v>
      </c>
    </row>
    <row r="996" ht="13.5" customHeight="1">
      <c r="A996" s="1">
        <v>13466.0</v>
      </c>
      <c r="B996" s="10" t="s">
        <v>48</v>
      </c>
      <c r="C996" s="10" t="s">
        <v>50</v>
      </c>
      <c r="D996" s="1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tr">
        <f t="shared" si="1"/>
        <v>Middle Aged (31-54)</v>
      </c>
      <c r="N996" s="1" t="s">
        <v>20</v>
      </c>
    </row>
    <row r="997" ht="13.5" customHeight="1">
      <c r="A997" s="1">
        <v>23731.0</v>
      </c>
      <c r="B997" s="10" t="s">
        <v>48</v>
      </c>
      <c r="C997" s="10" t="s">
        <v>50</v>
      </c>
      <c r="D997" s="1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tr">
        <f t="shared" si="1"/>
        <v>Middle Aged (31-54)</v>
      </c>
      <c r="N997" s="1" t="s">
        <v>17</v>
      </c>
    </row>
    <row r="998" ht="13.5" customHeight="1">
      <c r="A998" s="1">
        <v>28672.0</v>
      </c>
      <c r="B998" s="10" t="s">
        <v>51</v>
      </c>
      <c r="C998" s="10" t="s">
        <v>50</v>
      </c>
      <c r="D998" s="1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tr">
        <f t="shared" si="1"/>
        <v>Middle Aged (31-54)</v>
      </c>
      <c r="N998" s="1" t="s">
        <v>17</v>
      </c>
    </row>
    <row r="999" ht="13.5" customHeight="1">
      <c r="A999" s="1">
        <v>11809.0</v>
      </c>
      <c r="B999" s="10" t="s">
        <v>48</v>
      </c>
      <c r="C999" s="10" t="s">
        <v>50</v>
      </c>
      <c r="D999" s="1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tr">
        <f t="shared" si="1"/>
        <v>Middle Aged (31-54)</v>
      </c>
      <c r="N999" s="1" t="s">
        <v>17</v>
      </c>
    </row>
    <row r="1000" ht="13.5" customHeight="1">
      <c r="A1000" s="1">
        <v>19664.0</v>
      </c>
      <c r="B1000" s="10" t="s">
        <v>51</v>
      </c>
      <c r="C1000" s="10" t="s">
        <v>50</v>
      </c>
      <c r="D1000" s="1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tr">
        <f t="shared" si="1"/>
        <v>Middle Aged (31-54)</v>
      </c>
      <c r="N1000" s="1" t="s">
        <v>20</v>
      </c>
    </row>
    <row r="1001" ht="13.5" customHeight="1">
      <c r="A1001" s="1">
        <v>12121.0</v>
      </c>
      <c r="B1001" s="10" t="s">
        <v>51</v>
      </c>
      <c r="C1001" s="10" t="s">
        <v>50</v>
      </c>
      <c r="D1001" s="1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0" t="s">
        <v>52</v>
      </c>
      <c r="K1001" s="1" t="s">
        <v>35</v>
      </c>
      <c r="L1001" s="1">
        <v>53.0</v>
      </c>
      <c r="M1001" s="1" t="str">
        <f t="shared" si="1"/>
        <v>Middle Aged (31-54)</v>
      </c>
      <c r="N1001" s="1" t="s">
        <v>17</v>
      </c>
    </row>
    <row r="1002" ht="13.5" customHeight="1">
      <c r="D1002" s="11"/>
    </row>
    <row r="1003" ht="13.5" customHeight="1">
      <c r="D1003" s="11"/>
    </row>
    <row r="1004" ht="13.5" customHeight="1">
      <c r="D1004" s="11"/>
    </row>
    <row r="1005" ht="13.5" customHeight="1">
      <c r="D1005" s="11"/>
    </row>
    <row r="1006" ht="13.5" customHeight="1">
      <c r="D1006" s="11"/>
    </row>
    <row r="1007" ht="13.5" customHeight="1">
      <c r="D1007" s="11"/>
    </row>
    <row r="1008" ht="13.5" customHeight="1">
      <c r="D1008" s="11"/>
    </row>
    <row r="1009" ht="13.5" customHeight="1">
      <c r="D1009" s="11"/>
    </row>
    <row r="1010" ht="13.5" customHeight="1">
      <c r="D1010" s="11"/>
    </row>
    <row r="1011" ht="13.5" customHeight="1">
      <c r="D1011" s="11"/>
    </row>
    <row r="1012" ht="13.5" customHeight="1">
      <c r="D1012" s="11"/>
    </row>
    <row r="1013" ht="13.5" customHeight="1">
      <c r="D1013" s="11"/>
    </row>
    <row r="1014" ht="13.5" customHeight="1">
      <c r="D1014" s="11"/>
    </row>
    <row r="1015" ht="13.5" customHeight="1">
      <c r="D1015" s="11"/>
    </row>
    <row r="1016" ht="13.5" customHeight="1">
      <c r="D1016" s="11"/>
    </row>
    <row r="1017" ht="13.5" customHeight="1">
      <c r="D1017" s="11"/>
    </row>
    <row r="1018" ht="13.5" customHeight="1">
      <c r="D1018" s="11"/>
    </row>
    <row r="1019" ht="13.5" customHeight="1">
      <c r="D1019" s="11"/>
    </row>
    <row r="1020" ht="13.5" customHeight="1">
      <c r="D1020" s="11"/>
    </row>
    <row r="1021" ht="13.5" customHeight="1">
      <c r="D1021" s="11"/>
    </row>
    <row r="1022" ht="13.5" customHeight="1">
      <c r="D1022" s="11"/>
    </row>
    <row r="1023" ht="13.5" customHeight="1">
      <c r="D1023" s="11"/>
    </row>
    <row r="1024" ht="13.5" customHeight="1">
      <c r="D1024" s="11"/>
    </row>
    <row r="1025" ht="13.5" customHeight="1">
      <c r="D1025" s="11"/>
    </row>
    <row r="1026" ht="13.5" customHeight="1">
      <c r="D1026" s="11"/>
    </row>
    <row r="1027" ht="13.5" customHeight="1">
      <c r="D1027" s="11"/>
    </row>
  </sheetData>
  <autoFilter ref="$A$1:$AA$1027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</cols>
  <sheetData>
    <row r="1"/>
    <row r="2"/>
    <row r="3"/>
    <row r="4"/>
    <row r="20"/>
    <row r="21"/>
    <row r="22"/>
    <row r="23"/>
    <row r="24"/>
    <row r="25"/>
    <row r="26"/>
    <row r="39"/>
    <row r="40"/>
    <row r="41"/>
    <row r="42"/>
    <row r="43"/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3" t="s">
        <v>58</v>
      </c>
      <c r="L1" s="14"/>
      <c r="M1" s="14"/>
      <c r="N1" s="14"/>
    </row>
    <row r="2">
      <c r="L2" s="14"/>
      <c r="M2" s="14"/>
      <c r="N2" s="14"/>
    </row>
    <row r="3">
      <c r="L3" s="14"/>
      <c r="M3" s="14"/>
      <c r="N3" s="14"/>
    </row>
    <row r="4">
      <c r="L4" s="14"/>
      <c r="M4" s="14"/>
      <c r="N4" s="14"/>
    </row>
    <row r="28">
      <c r="M28" s="15"/>
    </row>
    <row r="30">
      <c r="P30" s="16"/>
    </row>
  </sheetData>
  <mergeCells count="1">
    <mergeCell ref="A1:K4"/>
  </mergeCells>
  <drawing r:id="rId1"/>
</worksheet>
</file>